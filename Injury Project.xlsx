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1"/>
  <workbookPr/>
  <xr:revisionPtr revIDLastSave="253" documentId="11_0B1D56BE9CDCCE836B02CE7A5FB0D4A9BBFD1C62" xr6:coauthVersionLast="47" xr6:coauthVersionMax="47" xr10:uidLastSave="{E9535048-FC48-404C-8A49-389B972B38E4}"/>
  <bookViews>
    <workbookView xWindow="240" yWindow="105" windowWidth="14805" windowHeight="8010" firstSheet="3" activeTab="2" xr2:uid="{00000000-000D-0000-FFFF-FFFF00000000}"/>
  </bookViews>
  <sheets>
    <sheet name="Objective of Project" sheetId="3" r:id="rId1"/>
    <sheet name="Original Kaggle Data" sheetId="2" r:id="rId2"/>
    <sheet name="Cleaned Data" sheetId="1" r:id="rId3"/>
    <sheet name="Pivot Tables" sheetId="4" r:id="rId4"/>
  </sheets>
  <calcPr calcId="191028"/>
  <pivotCaches>
    <pivotCache cacheId="63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tc={4FAA8AB1-263F-40F9-98B4-58328FC9EC45}</author>
  </authors>
  <commentList>
    <comment ref="B2" authorId="0" shapeId="0" xr:uid="{4FAA8AB1-263F-40F9-98B4-58328FC9EC4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incorporate age bracket and compare to injury type
</t>
      </text>
    </comment>
  </commentList>
</comments>
</file>

<file path=xl/sharedStrings.xml><?xml version="1.0" encoding="utf-8"?>
<sst xmlns="http://schemas.openxmlformats.org/spreadsheetml/2006/main" count="907" uniqueCount="62">
  <si>
    <t>Objective of Project</t>
  </si>
  <si>
    <t>1) Clean and organize Kaggle Dataset</t>
  </si>
  <si>
    <t>2) identify comon trends within injury types (Position, Age, Height, Weight etc)</t>
  </si>
  <si>
    <t>3) Utilize SQLite to arrange information and identify these trends</t>
  </si>
  <si>
    <t>4) Create visual pivot table for the data alongside graphs</t>
  </si>
  <si>
    <t>5) Create a Dashboard with graphs and screenshots of SQLite</t>
  </si>
  <si>
    <t>6) Display findings and identify trends with further suggestions for injury prevention and rehabilitation</t>
  </si>
  <si>
    <t>Player_ID</t>
  </si>
  <si>
    <t>Age</t>
  </si>
  <si>
    <t>Height_cm</t>
  </si>
  <si>
    <t>Weight_kg</t>
  </si>
  <si>
    <t>Position</t>
  </si>
  <si>
    <t>Injury_Type</t>
  </si>
  <si>
    <t>Injury_Severity</t>
  </si>
  <si>
    <t>Rehabilitation_Program</t>
  </si>
  <si>
    <t>Rehabilitation_Time_weeks</t>
  </si>
  <si>
    <t>Injury_Recurrence</t>
  </si>
  <si>
    <t>Date_of_Injury</t>
  </si>
  <si>
    <t>Rehabilitation_Efficiency_Score</t>
  </si>
  <si>
    <t>knee_angle_deg</t>
  </si>
  <si>
    <t>jump_height_cm</t>
  </si>
  <si>
    <t>ankle_flexion_deg</t>
  </si>
  <si>
    <t>speed_m_s</t>
  </si>
  <si>
    <t>reaction_time_ms</t>
  </si>
  <si>
    <t>Center</t>
  </si>
  <si>
    <t>ACL Tear</t>
  </si>
  <si>
    <t>Severe</t>
  </si>
  <si>
    <t>Physiotherapy</t>
  </si>
  <si>
    <t>Forward</t>
  </si>
  <si>
    <t>Ankle Sprain</t>
  </si>
  <si>
    <t>Mild</t>
  </si>
  <si>
    <t>Knee Injury</t>
  </si>
  <si>
    <t>Moderate</t>
  </si>
  <si>
    <t>Flexibility Exercises</t>
  </si>
  <si>
    <t>Shoulder Dislocation</t>
  </si>
  <si>
    <t>Strength Training</t>
  </si>
  <si>
    <t>Guard</t>
  </si>
  <si>
    <t>Balance Training</t>
  </si>
  <si>
    <t>Hamstring Strain</t>
  </si>
  <si>
    <t>Age range</t>
  </si>
  <si>
    <t>Height (cm)</t>
  </si>
  <si>
    <t>Weight (Kg)</t>
  </si>
  <si>
    <t>Injury Type</t>
  </si>
  <si>
    <t>Injury Severity</t>
  </si>
  <si>
    <t>Rehabilitation Program</t>
  </si>
  <si>
    <t>Rehabilitation Time weeks</t>
  </si>
  <si>
    <t>Injury Recurrence</t>
  </si>
  <si>
    <t>Date of Injury</t>
  </si>
  <si>
    <t>Rehabilitation Efficiency Score</t>
  </si>
  <si>
    <t>knee angle degrees</t>
  </si>
  <si>
    <t>Jump Height (cm)</t>
  </si>
  <si>
    <t>Ankle Flexion degrees</t>
  </si>
  <si>
    <t>Speed in m/s</t>
  </si>
  <si>
    <t>Reaction Time in m/s</t>
  </si>
  <si>
    <t>Count of Injury Type</t>
  </si>
  <si>
    <t>Grand Total</t>
  </si>
  <si>
    <t>Count of Rehabilitation Program</t>
  </si>
  <si>
    <t>Count of Injury Severity</t>
  </si>
  <si>
    <t>Adolescent</t>
  </si>
  <si>
    <t>Adult</t>
  </si>
  <si>
    <t>Young Adult</t>
  </si>
  <si>
    <t>Sum of Injury Recurrence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</si>
</sst>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4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CFCBB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Border="1" applyAlignment="1"/>
    <xf numFmtId="14" fontId="1" fillId="0" borderId="0" xfId="0" applyNumberFormat="1" applyFont="1" applyBorder="1" applyAlignment="1"/>
    <xf numFmtId="0" fontId="0" fillId="0" borderId="0" xfId="0" applyAlignment="1"/>
    <xf numFmtId="0" fontId="2" fillId="0" borderId="0" xfId="0" applyFont="1" applyAlignment="1"/>
    <xf numFmtId="0" fontId="2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/>
    <xf numFmtId="0" fontId="0" fillId="2" borderId="2" xfId="0" applyFill="1" applyBorder="1" applyAlignment="1">
      <alignment wrapText="1"/>
    </xf>
    <xf numFmtId="0" fontId="0" fillId="2" borderId="3" xfId="0" applyFill="1" applyBorder="1" applyAlignment="1">
      <alignment wrapText="1"/>
    </xf>
    <xf numFmtId="14" fontId="0" fillId="0" borderId="0" xfId="0" applyNumberFormat="1"/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wrapText="1"/>
    </xf>
    <xf numFmtId="0" fontId="0" fillId="0" borderId="0" xfId="0" pivotButton="1"/>
    <xf numFmtId="0" fontId="0" fillId="0" borderId="0" xfId="0" applyNumberFormat="1"/>
    <xf numFmtId="0" fontId="4" fillId="4" borderId="4" xfId="0" applyNumberFormat="1" applyFont="1" applyFill="1" applyBorder="1"/>
    <xf numFmtId="0" fontId="4" fillId="4" borderId="5" xfId="0" applyNumberFormat="1" applyFont="1" applyFill="1" applyBorder="1"/>
    <xf numFmtId="0" fontId="0" fillId="6" borderId="4" xfId="0" applyFill="1" applyBorder="1"/>
    <xf numFmtId="0" fontId="0" fillId="6" borderId="5" xfId="0" applyFill="1" applyBorder="1"/>
    <xf numFmtId="0" fontId="0" fillId="8" borderId="4" xfId="0" applyFill="1" applyBorder="1"/>
    <xf numFmtId="0" fontId="0" fillId="8" borderId="5" xfId="0" applyFill="1" applyBorder="1"/>
    <xf numFmtId="0" fontId="0" fillId="5" borderId="7" xfId="0" applyNumberFormat="1" applyFill="1" applyBorder="1"/>
    <xf numFmtId="0" fontId="0" fillId="5" borderId="8" xfId="0" applyNumberFormat="1" applyFill="1" applyBorder="1"/>
    <xf numFmtId="0" fontId="0" fillId="5" borderId="9" xfId="0" applyNumberFormat="1" applyFill="1" applyBorder="1"/>
    <xf numFmtId="0" fontId="0" fillId="5" borderId="7" xfId="0" applyFill="1" applyBorder="1"/>
    <xf numFmtId="0" fontId="0" fillId="7" borderId="7" xfId="0" applyNumberFormat="1" applyFill="1" applyBorder="1"/>
    <xf numFmtId="0" fontId="0" fillId="7" borderId="8" xfId="0" applyNumberFormat="1" applyFill="1" applyBorder="1"/>
    <xf numFmtId="0" fontId="0" fillId="7" borderId="9" xfId="0" applyNumberFormat="1" applyFill="1" applyBorder="1"/>
    <xf numFmtId="0" fontId="0" fillId="5" borderId="10" xfId="0" applyFill="1" applyBorder="1"/>
    <xf numFmtId="0" fontId="0" fillId="0" borderId="4" xfId="0" applyBorder="1"/>
    <xf numFmtId="0" fontId="0" fillId="0" borderId="5" xfId="0" applyBorder="1"/>
    <xf numFmtId="0" fontId="0" fillId="0" borderId="11" xfId="0" applyBorder="1"/>
    <xf numFmtId="0" fontId="0" fillId="0" borderId="8" xfId="0" applyNumberFormat="1" applyBorder="1"/>
    <xf numFmtId="0" fontId="0" fillId="0" borderId="9" xfId="0" applyNumberFormat="1" applyBorder="1"/>
    <xf numFmtId="2" fontId="3" fillId="0" borderId="0" xfId="0" applyNumberFormat="1" applyFont="1" applyBorder="1" applyAlignment="1">
      <alignment horizontal="center"/>
    </xf>
    <xf numFmtId="2" fontId="1" fillId="0" borderId="0" xfId="0" applyNumberFormat="1" applyFont="1" applyBorder="1" applyAlignment="1"/>
    <xf numFmtId="2" fontId="0" fillId="0" borderId="0" xfId="0" applyNumberFormat="1"/>
    <xf numFmtId="164" fontId="3" fillId="0" borderId="0" xfId="0" applyNumberFormat="1" applyFont="1" applyBorder="1" applyAlignment="1">
      <alignment horizontal="center"/>
    </xf>
    <xf numFmtId="164" fontId="1" fillId="0" borderId="0" xfId="0" applyNumberFormat="1" applyFont="1" applyBorder="1" applyAlignment="1"/>
    <xf numFmtId="164" fontId="0" fillId="0" borderId="0" xfId="0" applyNumberFormat="1"/>
    <xf numFmtId="14" fontId="3" fillId="0" borderId="0" xfId="0" applyNumberFormat="1" applyFont="1" applyBorder="1" applyAlignment="1">
      <alignment horizontal="center"/>
    </xf>
    <xf numFmtId="1" fontId="3" fillId="0" borderId="0" xfId="0" applyNumberFormat="1" applyFont="1" applyBorder="1" applyAlignment="1">
      <alignment horizontal="center"/>
    </xf>
    <xf numFmtId="1" fontId="1" fillId="0" borderId="0" xfId="0" applyNumberFormat="1" applyFont="1" applyBorder="1" applyAlignment="1"/>
    <xf numFmtId="1" fontId="0" fillId="0" borderId="0" xfId="0" applyNumberFormat="1"/>
    <xf numFmtId="0" fontId="4" fillId="3" borderId="4" xfId="0" applyFont="1" applyFill="1" applyBorder="1"/>
    <xf numFmtId="0" fontId="4" fillId="3" borderId="5" xfId="0" applyFont="1" applyFill="1" applyBorder="1"/>
    <xf numFmtId="0" fontId="4" fillId="3" borderId="6" xfId="0" applyFont="1" applyFill="1" applyBorder="1"/>
  </cellXfs>
  <cellStyles count="1">
    <cellStyle name="Normal" xfId="0" builtinId="0"/>
  </cellStyles>
  <dxfs count="29"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8" tint="0.79998168889431442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</dxf>
    <dxf>
      <font>
        <b/>
      </font>
    </dxf>
    <dxf>
      <font>
        <b/>
      </font>
    </dxf>
    <dxf>
      <fill>
        <patternFill patternType="solid">
          <fgColor indexed="64"/>
          <bgColor theme="5" tint="0.79998168889431442"/>
        </patternFill>
      </fill>
    </dxf>
    <dxf>
      <fill>
        <patternFill patternType="solid">
          <fgColor indexed="64"/>
          <bgColor rgb="FFFCFCBB"/>
        </patternFill>
      </fill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4" tint="0.79998168889431442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6" tint="0.79998168889431442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Medium9"/>
  <colors>
    <mruColors>
      <color rgb="FFFCFC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228600</xdr:colOff>
      <xdr:row>1</xdr:row>
      <xdr:rowOff>123825</xdr:rowOff>
    </xdr:from>
    <xdr:to>
      <xdr:col>21</xdr:col>
      <xdr:colOff>123825</xdr:colOff>
      <xdr:row>6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F4E618-D333-B7C0-234D-C5907909F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58700" y="314325"/>
          <a:ext cx="8734425" cy="990600"/>
        </a:xfrm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2</xdr:row>
      <xdr:rowOff>0</xdr:rowOff>
    </xdr:from>
    <xdr:to>
      <xdr:col>13</xdr:col>
      <xdr:colOff>238125</xdr:colOff>
      <xdr:row>6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145A1E-42CE-8A1E-927E-7CCFC0BAA708}"/>
            </a:ext>
            <a:ext uri="{147F2762-F138-4A5C-976F-8EAC2B608ADB}">
              <a16:predDERef xmlns:a16="http://schemas.microsoft.com/office/drawing/2014/main" pred="{D2F4E618-D333-B7C0-234D-C5907909F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72425" y="381000"/>
          <a:ext cx="4095750" cy="942975"/>
        </a:xfrm>
        <a:prstGeom prst="rect">
          <a:avLst/>
        </a:prstGeom>
      </xdr:spPr>
    </xdr:pic>
    <xdr:clientData/>
  </xdr:twoCellAnchor>
  <xdr:twoCellAnchor editAs="oneCell">
    <xdr:from>
      <xdr:col>13</xdr:col>
      <xdr:colOff>47625</xdr:colOff>
      <xdr:row>14</xdr:row>
      <xdr:rowOff>171450</xdr:rowOff>
    </xdr:from>
    <xdr:to>
      <xdr:col>16</xdr:col>
      <xdr:colOff>495300</xdr:colOff>
      <xdr:row>17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41A0B13-FBDB-FB87-A8C1-93CBAFE14611}"/>
            </a:ext>
            <a:ext uri="{147F2762-F138-4A5C-976F-8EAC2B608ADB}">
              <a16:predDERef xmlns:a16="http://schemas.microsoft.com/office/drawing/2014/main" pred="{38145A1E-42CE-8A1E-927E-7CCFC0BAA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277725" y="2838450"/>
          <a:ext cx="3819525" cy="476250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161925</xdr:rowOff>
    </xdr:from>
    <xdr:to>
      <xdr:col>13</xdr:col>
      <xdr:colOff>76200</xdr:colOff>
      <xdr:row>22</xdr:row>
      <xdr:rowOff>133350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A7A629F-872F-8B13-BBF3-800124D3EB89}"/>
            </a:ext>
            <a:ext uri="{147F2762-F138-4A5C-976F-8EAC2B608ADB}">
              <a16:predDERef xmlns:a16="http://schemas.microsoft.com/office/drawing/2014/main" pred="{741A0B13-FBDB-FB87-A8C1-93CBAFE14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62900" y="2828925"/>
          <a:ext cx="3943350" cy="1495425"/>
        </a:xfrm>
        <a:prstGeom prst="rect">
          <a:avLst/>
        </a:prstGeom>
      </xdr:spPr>
    </xdr:pic>
    <xdr:clientData/>
  </xdr:twoCellAnchor>
  <xdr:twoCellAnchor editAs="oneCell">
    <xdr:from>
      <xdr:col>12</xdr:col>
      <xdr:colOff>923925</xdr:colOff>
      <xdr:row>27</xdr:row>
      <xdr:rowOff>47625</xdr:rowOff>
    </xdr:from>
    <xdr:to>
      <xdr:col>20</xdr:col>
      <xdr:colOff>171450</xdr:colOff>
      <xdr:row>30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AD6264C-8540-B266-A367-0AF96BA2996D}"/>
            </a:ext>
            <a:ext uri="{147F2762-F138-4A5C-976F-8EAC2B608ADB}">
              <a16:predDERef xmlns:a16="http://schemas.microsoft.com/office/drawing/2014/main" pred="{DA7A629F-872F-8B13-BBF3-800124D3E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858625" y="5191125"/>
          <a:ext cx="8201025" cy="523875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</xdr:colOff>
      <xdr:row>27</xdr:row>
      <xdr:rowOff>9525</xdr:rowOff>
    </xdr:from>
    <xdr:to>
      <xdr:col>12</xdr:col>
      <xdr:colOff>933450</xdr:colOff>
      <xdr:row>33</xdr:row>
      <xdr:rowOff>142875</xdr:rowOff>
    </xdr:to>
    <xdr:pic>
      <xdr:nvPicPr>
        <xdr:cNvPr id="11" name="Picture 8">
          <a:extLst>
            <a:ext uri="{FF2B5EF4-FFF2-40B4-BE49-F238E27FC236}">
              <a16:creationId xmlns:a16="http://schemas.microsoft.com/office/drawing/2014/main" id="{B7CA1EBF-6619-96A9-7EA9-0D1635B8573D}"/>
            </a:ext>
            <a:ext uri="{147F2762-F138-4A5C-976F-8EAC2B608ADB}">
              <a16:predDERef xmlns:a16="http://schemas.microsoft.com/office/drawing/2014/main" pred="{EAD6264C-8540-B266-A367-0AF96BA29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96325" y="5153025"/>
          <a:ext cx="3486150" cy="12763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hris rodriguez" id="{0094019E-A2DA-45BB-8ED1-AA990E783D91}" userId="c5fa8c2863ed8ca8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1.765746990743" createdVersion="8" refreshedVersion="8" minRefreshableVersion="3" recordCount="100" xr:uid="{3D6E754D-729F-4937-A1ED-D6CB39418C86}">
  <cacheSource type="worksheet">
    <worksheetSource ref="A1:R101" sheet="Cleaned Data"/>
  </cacheSource>
  <cacheFields count="18">
    <cacheField name="Player_ID" numFmtId="0">
      <sharedItems containsSemiMixedTypes="0" containsString="0" containsNumber="1" containsInteger="1" minValue="1" maxValue="100"/>
    </cacheField>
    <cacheField name="Age" numFmtId="0">
      <sharedItems containsSemiMixedTypes="0" containsString="0" containsNumber="1" containsInteger="1" minValue="18" maxValue="34"/>
    </cacheField>
    <cacheField name="Age range" numFmtId="0">
      <sharedItems count="3">
        <s v="Young Adult"/>
        <s v="Adult"/>
        <s v="Adolescent"/>
      </sharedItems>
    </cacheField>
    <cacheField name="Height (cm)" numFmtId="0">
      <sharedItems containsSemiMixedTypes="0" containsString="0" containsNumber="1" containsInteger="1" minValue="170" maxValue="209"/>
    </cacheField>
    <cacheField name="Weight (Kg)" numFmtId="0">
      <sharedItems containsSemiMixedTypes="0" containsString="0" containsNumber="1" containsInteger="1" minValue="70" maxValue="109"/>
    </cacheField>
    <cacheField name="Position" numFmtId="0">
      <sharedItems count="3">
        <s v="Center"/>
        <s v="Forward"/>
        <s v="Guard"/>
      </sharedItems>
    </cacheField>
    <cacheField name="Injury Type" numFmtId="0">
      <sharedItems count="5">
        <s v="ACL Tear"/>
        <s v="Ankle Sprain"/>
        <s v="Knee Injury"/>
        <s v="Shoulder Dislocation"/>
        <s v="Hamstring Strain"/>
      </sharedItems>
    </cacheField>
    <cacheField name="Injury Severity" numFmtId="0">
      <sharedItems count="3">
        <s v="Severe"/>
        <s v="Mild"/>
        <s v="Moderate"/>
      </sharedItems>
    </cacheField>
    <cacheField name="Rehabilitation Program" numFmtId="0">
      <sharedItems count="4">
        <s v="Physiotherapy"/>
        <s v="Flexibility Exercises"/>
        <s v="Strength Training"/>
        <s v="Balance Training"/>
      </sharedItems>
    </cacheField>
    <cacheField name="Rehabilitation Time weeks" numFmtId="0">
      <sharedItems containsSemiMixedTypes="0" containsString="0" containsNumber="1" containsInteger="1" minValue="2" maxValue="11"/>
    </cacheField>
    <cacheField name="Injury Recurrence" numFmtId="0">
      <sharedItems containsSemiMixedTypes="0" containsString="0" containsNumber="1" containsInteger="1" minValue="0" maxValue="1"/>
    </cacheField>
    <cacheField name="Date of Injury" numFmtId="14">
      <sharedItems containsSemiMixedTypes="0" containsNonDate="0" containsDate="1" containsString="0" minDate="2013-11-29T00:00:00" maxDate="2021-11-26T00:00:00"/>
    </cacheField>
    <cacheField name="Rehabilitation Efficiency Score" numFmtId="0">
      <sharedItems containsSemiMixedTypes="0" containsString="0" containsNumber="1" minValue="0.50727233299999996" maxValue="0.999858837"/>
    </cacheField>
    <cacheField name="knee angle degrees" numFmtId="0">
      <sharedItems containsSemiMixedTypes="0" containsString="0" containsNumber="1" minValue="31.40498384" maxValue="99.297216270000007"/>
    </cacheField>
    <cacheField name="Jump Height (cm)" numFmtId="0">
      <sharedItems containsSemiMixedTypes="0" containsString="0" containsNumber="1" minValue="31.26771287" maxValue="97.551883750000002"/>
    </cacheField>
    <cacheField name="Ankle Flexion degrees" numFmtId="0">
      <sharedItems containsSemiMixedTypes="0" containsString="0" containsNumber="1" minValue="30.324241610000001" maxValue="99.781197629999994"/>
    </cacheField>
    <cacheField name="Speed in m/s" numFmtId="0">
      <sharedItems containsSemiMixedTypes="0" containsString="0" containsNumber="1" minValue="30.769708009999999" maxValue="98.908152650000005"/>
    </cacheField>
    <cacheField name="Reaction Time in m/s" numFmtId="0">
      <sharedItems containsSemiMixedTypes="0" containsString="0" containsNumber="1" minValue="31.25117543" maxValue="99.85538773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n v="24"/>
    <x v="0"/>
    <n v="195"/>
    <n v="108"/>
    <x v="0"/>
    <x v="0"/>
    <x v="0"/>
    <x v="0"/>
    <n v="7"/>
    <n v="0"/>
    <d v="2017-12-19T00:00:00"/>
    <n v="0.86285975400000003"/>
    <n v="78.327637999999993"/>
    <n v="77.705190560000005"/>
    <n v="37.926663210000001"/>
    <n v="56.578468569999998"/>
    <n v="64.25974746"/>
  </r>
  <r>
    <n v="2"/>
    <n v="32"/>
    <x v="1"/>
    <n v="183"/>
    <n v="87"/>
    <x v="1"/>
    <x v="1"/>
    <x v="1"/>
    <x v="0"/>
    <n v="8"/>
    <n v="0"/>
    <d v="2017-08-10T00:00:00"/>
    <n v="0.80670759800000003"/>
    <n v="32.751849790000001"/>
    <n v="83.215950190000001"/>
    <n v="98.938883930000003"/>
    <n v="71.320645979999995"/>
    <n v="45.484660929999997"/>
  </r>
  <r>
    <n v="3"/>
    <n v="28"/>
    <x v="1"/>
    <n v="208"/>
    <n v="109"/>
    <x v="0"/>
    <x v="2"/>
    <x v="2"/>
    <x v="1"/>
    <n v="3"/>
    <n v="0"/>
    <d v="2018-11-21T00:00:00"/>
    <n v="0.70912151800000001"/>
    <n v="85.958727920000001"/>
    <n v="71.694711839999997"/>
    <n v="88.722866049999993"/>
    <n v="48.764454860000001"/>
    <n v="99.136760559999999"/>
  </r>
  <r>
    <n v="4"/>
    <n v="25"/>
    <x v="0"/>
    <n v="196"/>
    <n v="70"/>
    <x v="1"/>
    <x v="3"/>
    <x v="2"/>
    <x v="2"/>
    <n v="11"/>
    <n v="0"/>
    <d v="2017-07-18T00:00:00"/>
    <n v="0.96636424200000004"/>
    <n v="73.953027259999999"/>
    <n v="63.010333199999998"/>
    <n v="38.726387680000002"/>
    <n v="73.690423550000006"/>
    <n v="96.084153779999994"/>
  </r>
  <r>
    <n v="5"/>
    <n v="24"/>
    <x v="0"/>
    <n v="178"/>
    <n v="80"/>
    <x v="2"/>
    <x v="3"/>
    <x v="2"/>
    <x v="3"/>
    <n v="3"/>
    <n v="1"/>
    <d v="2015-03-05T00:00:00"/>
    <n v="0.93303194499999997"/>
    <n v="35.723132239999998"/>
    <n v="58.828863990000002"/>
    <n v="94.45893178"/>
    <n v="58.658815650000001"/>
    <n v="32.759876800000001"/>
  </r>
  <r>
    <n v="6"/>
    <n v="28"/>
    <x v="1"/>
    <n v="184"/>
    <n v="97"/>
    <x v="2"/>
    <x v="1"/>
    <x v="0"/>
    <x v="0"/>
    <n v="11"/>
    <n v="1"/>
    <d v="2018-05-29T00:00:00"/>
    <n v="0.52260933499999995"/>
    <n v="91.150503689999994"/>
    <n v="54.420778660000003"/>
    <n v="90.892745340000005"/>
    <n v="68.643302660000003"/>
    <n v="79.390262079999999"/>
  </r>
  <r>
    <n v="7"/>
    <n v="28"/>
    <x v="1"/>
    <n v="184"/>
    <n v="94"/>
    <x v="2"/>
    <x v="2"/>
    <x v="2"/>
    <x v="0"/>
    <n v="2"/>
    <n v="0"/>
    <d v="2015-03-16T00:00:00"/>
    <n v="0.51318348700000005"/>
    <n v="94.461068040000001"/>
    <n v="95.0670401"/>
    <n v="66.318663999999998"/>
    <n v="60.528857039999998"/>
    <n v="94.767382220000002"/>
  </r>
  <r>
    <n v="8"/>
    <n v="21"/>
    <x v="2"/>
    <n v="195"/>
    <n v="92"/>
    <x v="1"/>
    <x v="1"/>
    <x v="1"/>
    <x v="0"/>
    <n v="9"/>
    <n v="0"/>
    <d v="2014-05-26T00:00:00"/>
    <n v="0.68823168300000004"/>
    <n v="34.275457189999997"/>
    <n v="88.143358550000002"/>
    <n v="71.389280499999998"/>
    <n v="50.61260317"/>
    <n v="42.640274159999997"/>
  </r>
  <r>
    <n v="9"/>
    <n v="25"/>
    <x v="0"/>
    <n v="182"/>
    <n v="100"/>
    <x v="0"/>
    <x v="1"/>
    <x v="2"/>
    <x v="3"/>
    <n v="2"/>
    <n v="1"/>
    <d v="2017-06-07T00:00:00"/>
    <n v="0.90527666500000004"/>
    <n v="49.381435369999998"/>
    <n v="97.551883750000002"/>
    <n v="57.93018927"/>
    <n v="96.391731489999998"/>
    <n v="69.756166140000005"/>
  </r>
  <r>
    <n v="10"/>
    <n v="20"/>
    <x v="2"/>
    <n v="201"/>
    <n v="99"/>
    <x v="0"/>
    <x v="3"/>
    <x v="1"/>
    <x v="2"/>
    <n v="10"/>
    <n v="0"/>
    <d v="2016-12-20T00:00:00"/>
    <n v="0.99363806499999996"/>
    <n v="86.434089589999999"/>
    <n v="38.700805639999999"/>
    <n v="33.833314719999997"/>
    <n v="83.452405589999998"/>
    <n v="94.084180829999994"/>
  </r>
  <r>
    <n v="11"/>
    <n v="19"/>
    <x v="2"/>
    <n v="208"/>
    <n v="104"/>
    <x v="1"/>
    <x v="4"/>
    <x v="2"/>
    <x v="0"/>
    <n v="7"/>
    <n v="0"/>
    <d v="2018-10-23T00:00:00"/>
    <n v="0.57520844599999998"/>
    <n v="82.378178329999997"/>
    <n v="81.160723259999997"/>
    <n v="53.463806920000003"/>
    <n v="39.807922300000001"/>
    <n v="32.3762185"/>
  </r>
  <r>
    <n v="12"/>
    <n v="29"/>
    <x v="1"/>
    <n v="201"/>
    <n v="76"/>
    <x v="2"/>
    <x v="3"/>
    <x v="1"/>
    <x v="2"/>
    <n v="8"/>
    <n v="0"/>
    <d v="2018-10-06T00:00:00"/>
    <n v="0.797065358"/>
    <n v="42.916471350000002"/>
    <n v="95.683831979999994"/>
    <n v="86.199741399999994"/>
    <n v="90.792758309999996"/>
    <n v="78.819418709999994"/>
  </r>
  <r>
    <n v="13"/>
    <n v="23"/>
    <x v="0"/>
    <n v="173"/>
    <n v="85"/>
    <x v="2"/>
    <x v="4"/>
    <x v="2"/>
    <x v="3"/>
    <n v="11"/>
    <n v="0"/>
    <d v="2020-08-18T00:00:00"/>
    <n v="0.69044542799999997"/>
    <n v="44.654452630000002"/>
    <n v="42.686314629999998"/>
    <n v="30.324241610000001"/>
    <n v="64.120183879999999"/>
    <n v="50.814430520000002"/>
  </r>
  <r>
    <n v="14"/>
    <n v="19"/>
    <x v="2"/>
    <n v="199"/>
    <n v="95"/>
    <x v="1"/>
    <x v="0"/>
    <x v="2"/>
    <x v="2"/>
    <n v="8"/>
    <n v="1"/>
    <d v="2021-10-23T00:00:00"/>
    <n v="0.98495719900000001"/>
    <n v="55.933047199999997"/>
    <n v="34.654738719999997"/>
    <n v="53.344942019999998"/>
    <n v="92.618655880000006"/>
    <n v="94.707733680000004"/>
  </r>
  <r>
    <n v="15"/>
    <n v="18"/>
    <x v="2"/>
    <n v="206"/>
    <n v="71"/>
    <x v="2"/>
    <x v="1"/>
    <x v="0"/>
    <x v="2"/>
    <n v="11"/>
    <n v="1"/>
    <d v="2017-02-08T00:00:00"/>
    <n v="0.921059462"/>
    <n v="63.916608959999998"/>
    <n v="81.878445450000001"/>
    <n v="57.871808549999997"/>
    <n v="85.989867919999995"/>
    <n v="97.974077159999993"/>
  </r>
  <r>
    <n v="16"/>
    <n v="29"/>
    <x v="1"/>
    <n v="192"/>
    <n v="70"/>
    <x v="0"/>
    <x v="2"/>
    <x v="2"/>
    <x v="2"/>
    <n v="4"/>
    <n v="1"/>
    <d v="2019-11-14T00:00:00"/>
    <n v="0.91916435200000002"/>
    <n v="73.277834010000007"/>
    <n v="70.213117920000002"/>
    <n v="67.617692210000001"/>
    <n v="59.764945310000002"/>
    <n v="96.098654240000002"/>
  </r>
  <r>
    <n v="17"/>
    <n v="29"/>
    <x v="1"/>
    <n v="208"/>
    <n v="81"/>
    <x v="0"/>
    <x v="1"/>
    <x v="2"/>
    <x v="1"/>
    <n v="3"/>
    <n v="0"/>
    <d v="2014-01-20T00:00:00"/>
    <n v="0.73434657999999997"/>
    <n v="55.82395477"/>
    <n v="88.92801437"/>
    <n v="94.389893150000006"/>
    <n v="31.572851579999998"/>
    <n v="63.194995169999999"/>
  </r>
  <r>
    <n v="18"/>
    <n v="34"/>
    <x v="1"/>
    <n v="184"/>
    <n v="74"/>
    <x v="2"/>
    <x v="0"/>
    <x v="2"/>
    <x v="1"/>
    <n v="10"/>
    <n v="1"/>
    <d v="2015-10-05T00:00:00"/>
    <n v="0.70740975100000003"/>
    <n v="62.37743013"/>
    <n v="39.784066359999997"/>
    <n v="54.244219610000002"/>
    <n v="48.807415159999998"/>
    <n v="90.342985569999996"/>
  </r>
  <r>
    <n v="19"/>
    <n v="27"/>
    <x v="0"/>
    <n v="198"/>
    <n v="106"/>
    <x v="2"/>
    <x v="3"/>
    <x v="1"/>
    <x v="2"/>
    <n v="9"/>
    <n v="0"/>
    <d v="2018-12-16T00:00:00"/>
    <n v="0.63670353599999996"/>
    <n v="82.322965670000002"/>
    <n v="85.668711830000007"/>
    <n v="54.286724130000003"/>
    <n v="67.914395029999994"/>
    <n v="89.118457899999996"/>
  </r>
  <r>
    <n v="20"/>
    <n v="33"/>
    <x v="1"/>
    <n v="205"/>
    <n v="101"/>
    <x v="1"/>
    <x v="1"/>
    <x v="2"/>
    <x v="3"/>
    <n v="11"/>
    <n v="0"/>
    <d v="2013-11-29T00:00:00"/>
    <n v="0.52818774800000001"/>
    <n v="32.567824199999997"/>
    <n v="44.113912399999997"/>
    <n v="81.625087370000003"/>
    <n v="74.343475389999995"/>
    <n v="52.337033130000002"/>
  </r>
  <r>
    <n v="21"/>
    <n v="32"/>
    <x v="1"/>
    <n v="182"/>
    <n v="78"/>
    <x v="2"/>
    <x v="0"/>
    <x v="0"/>
    <x v="3"/>
    <n v="8"/>
    <n v="0"/>
    <d v="2014-04-12T00:00:00"/>
    <n v="0.93236118800000001"/>
    <n v="47.670586100000001"/>
    <n v="41.455916000000002"/>
    <n v="61.655255859999997"/>
    <n v="48.052137979999998"/>
    <n v="88.024083189999999"/>
  </r>
  <r>
    <n v="22"/>
    <n v="32"/>
    <x v="1"/>
    <n v="201"/>
    <n v="104"/>
    <x v="2"/>
    <x v="3"/>
    <x v="2"/>
    <x v="1"/>
    <n v="10"/>
    <n v="1"/>
    <d v="2015-08-05T00:00:00"/>
    <n v="0.90645050500000002"/>
    <n v="79.934471009999996"/>
    <n v="41.498605859999998"/>
    <n v="45.722337609999997"/>
    <n v="39.754925190000002"/>
    <n v="32.590534429999998"/>
  </r>
  <r>
    <n v="23"/>
    <n v="29"/>
    <x v="1"/>
    <n v="176"/>
    <n v="88"/>
    <x v="2"/>
    <x v="2"/>
    <x v="1"/>
    <x v="1"/>
    <n v="5"/>
    <n v="1"/>
    <d v="2015-11-14T00:00:00"/>
    <n v="0.999858837"/>
    <n v="92.664478639999999"/>
    <n v="87.020230420000004"/>
    <n v="61.670766129999997"/>
    <n v="88.445116580000004"/>
    <n v="71.73889149"/>
  </r>
  <r>
    <n v="24"/>
    <n v="20"/>
    <x v="2"/>
    <n v="191"/>
    <n v="85"/>
    <x v="2"/>
    <x v="1"/>
    <x v="0"/>
    <x v="3"/>
    <n v="5"/>
    <n v="0"/>
    <d v="2017-03-18T00:00:00"/>
    <n v="0.99831841899999996"/>
    <n v="65.817420949999999"/>
    <n v="76.563805450000004"/>
    <n v="39.859991430000001"/>
    <n v="98.908152650000005"/>
    <n v="46.100618609999998"/>
  </r>
  <r>
    <n v="25"/>
    <n v="22"/>
    <x v="2"/>
    <n v="197"/>
    <n v="72"/>
    <x v="0"/>
    <x v="3"/>
    <x v="1"/>
    <x v="2"/>
    <n v="2"/>
    <n v="1"/>
    <d v="2016-10-07T00:00:00"/>
    <n v="0.77771585300000001"/>
    <n v="67.247943969999994"/>
    <n v="66.614579730000003"/>
    <n v="42.347089060000002"/>
    <n v="66.798312760000002"/>
    <n v="38.439681999999998"/>
  </r>
  <r>
    <n v="26"/>
    <n v="24"/>
    <x v="0"/>
    <n v="171"/>
    <n v="89"/>
    <x v="1"/>
    <x v="1"/>
    <x v="2"/>
    <x v="3"/>
    <n v="9"/>
    <n v="0"/>
    <d v="2018-06-01T00:00:00"/>
    <n v="0.88449370800000005"/>
    <n v="37.502040790000002"/>
    <n v="55.118133890000003"/>
    <n v="64.885744090000003"/>
    <n v="42.017550010000001"/>
    <n v="35.386724110000003"/>
  </r>
  <r>
    <n v="27"/>
    <n v="26"/>
    <x v="0"/>
    <n v="175"/>
    <n v="93"/>
    <x v="1"/>
    <x v="2"/>
    <x v="1"/>
    <x v="0"/>
    <n v="4"/>
    <n v="0"/>
    <d v="2020-09-18T00:00:00"/>
    <n v="0.97238286500000004"/>
    <n v="61.318865680000002"/>
    <n v="91.404037860000003"/>
    <n v="59.324781469999998"/>
    <n v="49.061512860000001"/>
    <n v="78.740214309999999"/>
  </r>
  <r>
    <n v="28"/>
    <n v="24"/>
    <x v="0"/>
    <n v="197"/>
    <n v="102"/>
    <x v="1"/>
    <x v="0"/>
    <x v="0"/>
    <x v="1"/>
    <n v="8"/>
    <n v="0"/>
    <d v="2015-01-20T00:00:00"/>
    <n v="0.92482369499999995"/>
    <n v="67.283208650000006"/>
    <n v="57.471157519999998"/>
    <n v="94.039213070000002"/>
    <n v="31.287347359999998"/>
    <n v="53.791247460000001"/>
  </r>
  <r>
    <n v="29"/>
    <n v="21"/>
    <x v="2"/>
    <n v="197"/>
    <n v="93"/>
    <x v="2"/>
    <x v="4"/>
    <x v="2"/>
    <x v="2"/>
    <n v="3"/>
    <n v="0"/>
    <d v="2016-01-28T00:00:00"/>
    <n v="0.62367405099999995"/>
    <n v="46.972935249999999"/>
    <n v="87.161960759999999"/>
    <n v="55.367572940000002"/>
    <n v="94.000916459999999"/>
    <n v="80.733674010000001"/>
  </r>
  <r>
    <n v="30"/>
    <n v="31"/>
    <x v="1"/>
    <n v="189"/>
    <n v="80"/>
    <x v="1"/>
    <x v="1"/>
    <x v="0"/>
    <x v="2"/>
    <n v="3"/>
    <n v="0"/>
    <d v="2016-04-03T00:00:00"/>
    <n v="0.72527206799999999"/>
    <n v="48.847026169999999"/>
    <n v="60.739443600000001"/>
    <n v="70.641184519999996"/>
    <n v="38.242575799999997"/>
    <n v="34.574943859999998"/>
  </r>
  <r>
    <n v="31"/>
    <n v="26"/>
    <x v="0"/>
    <n v="199"/>
    <n v="77"/>
    <x v="0"/>
    <x v="3"/>
    <x v="1"/>
    <x v="2"/>
    <n v="8"/>
    <n v="0"/>
    <d v="2017-08-06T00:00:00"/>
    <n v="0.56457970800000001"/>
    <n v="56.409891420000001"/>
    <n v="56.38611006"/>
    <n v="74.258500150000003"/>
    <n v="70.356153289999995"/>
    <n v="52.070323649999999"/>
  </r>
  <r>
    <n v="32"/>
    <n v="19"/>
    <x v="2"/>
    <n v="180"/>
    <n v="105"/>
    <x v="2"/>
    <x v="1"/>
    <x v="0"/>
    <x v="2"/>
    <n v="7"/>
    <n v="0"/>
    <d v="2019-03-03T00:00:00"/>
    <n v="0.97702551400000004"/>
    <n v="31.40498384"/>
    <n v="62.387585000000001"/>
    <n v="30.916611960000001"/>
    <n v="49.183865449999999"/>
    <n v="67.764390469999995"/>
  </r>
  <r>
    <n v="33"/>
    <n v="32"/>
    <x v="1"/>
    <n v="197"/>
    <n v="107"/>
    <x v="2"/>
    <x v="1"/>
    <x v="0"/>
    <x v="0"/>
    <n v="4"/>
    <n v="0"/>
    <d v="2020-06-21T00:00:00"/>
    <n v="0.80308731700000002"/>
    <n v="52.545541589999999"/>
    <n v="51.096451190000003"/>
    <n v="76.44761604"/>
    <n v="68.792460180000006"/>
    <n v="85.350621540000006"/>
  </r>
  <r>
    <n v="34"/>
    <n v="24"/>
    <x v="0"/>
    <n v="194"/>
    <n v="109"/>
    <x v="1"/>
    <x v="0"/>
    <x v="1"/>
    <x v="3"/>
    <n v="10"/>
    <n v="0"/>
    <d v="2019-04-10T00:00:00"/>
    <n v="0.61432140300000004"/>
    <n v="44.80136049"/>
    <n v="82.332656610000001"/>
    <n v="42.462517679999998"/>
    <n v="75.599427180000006"/>
    <n v="52.312675210000002"/>
  </r>
  <r>
    <n v="35"/>
    <n v="29"/>
    <x v="1"/>
    <n v="208"/>
    <n v="89"/>
    <x v="0"/>
    <x v="4"/>
    <x v="0"/>
    <x v="0"/>
    <n v="11"/>
    <n v="0"/>
    <d v="2020-05-13T00:00:00"/>
    <n v="0.83585034199999997"/>
    <n v="52.924814650000002"/>
    <n v="65.190427310000004"/>
    <n v="97.274922219999993"/>
    <n v="88.081926260000003"/>
    <n v="73.81239635"/>
  </r>
  <r>
    <n v="36"/>
    <n v="25"/>
    <x v="0"/>
    <n v="202"/>
    <n v="104"/>
    <x v="2"/>
    <x v="1"/>
    <x v="2"/>
    <x v="1"/>
    <n v="7"/>
    <n v="0"/>
    <d v="2014-04-29T00:00:00"/>
    <n v="0.80906412000000005"/>
    <n v="38.38334923"/>
    <n v="46.254888659999999"/>
    <n v="40.406390940000001"/>
    <n v="44.449489020000001"/>
    <n v="92.018442379999996"/>
  </r>
  <r>
    <n v="37"/>
    <n v="32"/>
    <x v="1"/>
    <n v="170"/>
    <n v="94"/>
    <x v="1"/>
    <x v="3"/>
    <x v="2"/>
    <x v="2"/>
    <n v="11"/>
    <n v="0"/>
    <d v="2015-03-10T00:00:00"/>
    <n v="0.679081359"/>
    <n v="92.336909649999996"/>
    <n v="92.970220130000001"/>
    <n v="59.023688659999998"/>
    <n v="30.769708009999999"/>
    <n v="73.110423170000004"/>
  </r>
  <r>
    <n v="38"/>
    <n v="20"/>
    <x v="2"/>
    <n v="196"/>
    <n v="104"/>
    <x v="2"/>
    <x v="4"/>
    <x v="0"/>
    <x v="1"/>
    <n v="11"/>
    <n v="0"/>
    <d v="2017-02-17T00:00:00"/>
    <n v="0.55677879600000002"/>
    <n v="71.551471750000005"/>
    <n v="56.8723855"/>
    <n v="35.974476770000003"/>
    <n v="39.581994100000003"/>
    <n v="46.30716323"/>
  </r>
  <r>
    <n v="39"/>
    <n v="31"/>
    <x v="1"/>
    <n v="182"/>
    <n v="94"/>
    <x v="0"/>
    <x v="4"/>
    <x v="0"/>
    <x v="2"/>
    <n v="7"/>
    <n v="0"/>
    <d v="2017-12-31T00:00:00"/>
    <n v="0.83578659799999999"/>
    <n v="77.537162339999995"/>
    <n v="68.048700280000006"/>
    <n v="99.781197629999994"/>
    <n v="93.001304930000003"/>
    <n v="31.708054709999999"/>
  </r>
  <r>
    <n v="40"/>
    <n v="34"/>
    <x v="1"/>
    <n v="172"/>
    <n v="98"/>
    <x v="1"/>
    <x v="0"/>
    <x v="0"/>
    <x v="0"/>
    <n v="2"/>
    <n v="0"/>
    <d v="2016-01-23T00:00:00"/>
    <n v="0.76015385000000002"/>
    <n v="85.241986699999998"/>
    <n v="93.453047769999998"/>
    <n v="65.153650720000002"/>
    <n v="91.172305429999994"/>
    <n v="90.906921170000004"/>
  </r>
  <r>
    <n v="41"/>
    <n v="21"/>
    <x v="2"/>
    <n v="208"/>
    <n v="87"/>
    <x v="2"/>
    <x v="1"/>
    <x v="0"/>
    <x v="2"/>
    <n v="5"/>
    <n v="0"/>
    <d v="2016-05-07T00:00:00"/>
    <n v="0.88615919600000004"/>
    <n v="64.890953929999995"/>
    <n v="73.696659710000006"/>
    <n v="71.676951209999999"/>
    <n v="71.818917150000004"/>
    <n v="31.488858759999999"/>
  </r>
  <r>
    <n v="42"/>
    <n v="25"/>
    <x v="0"/>
    <n v="175"/>
    <n v="87"/>
    <x v="1"/>
    <x v="2"/>
    <x v="2"/>
    <x v="1"/>
    <n v="11"/>
    <n v="1"/>
    <d v="2016-05-12T00:00:00"/>
    <n v="0.76008175099999997"/>
    <n v="36.084420170000001"/>
    <n v="38.182862849999999"/>
    <n v="34.695353420000004"/>
    <n v="72.036180229999999"/>
    <n v="91.229117090000003"/>
  </r>
  <r>
    <n v="43"/>
    <n v="21"/>
    <x v="2"/>
    <n v="177"/>
    <n v="71"/>
    <x v="0"/>
    <x v="0"/>
    <x v="0"/>
    <x v="3"/>
    <n v="7"/>
    <n v="0"/>
    <d v="2016-12-05T00:00:00"/>
    <n v="0.92609074999999996"/>
    <n v="67.597457930000004"/>
    <n v="95.78824865"/>
    <n v="82.497232929999996"/>
    <n v="76.55256722"/>
    <n v="67.025599380000003"/>
  </r>
  <r>
    <n v="44"/>
    <n v="19"/>
    <x v="2"/>
    <n v="196"/>
    <n v="104"/>
    <x v="0"/>
    <x v="3"/>
    <x v="0"/>
    <x v="1"/>
    <n v="7"/>
    <n v="0"/>
    <d v="2014-03-04T00:00:00"/>
    <n v="0.77595341900000003"/>
    <n v="71.078878259999996"/>
    <n v="73.939563710000002"/>
    <n v="44.693391519999999"/>
    <n v="42.275989500000001"/>
    <n v="95.734738899999996"/>
  </r>
  <r>
    <n v="45"/>
    <n v="23"/>
    <x v="0"/>
    <n v="178"/>
    <n v="85"/>
    <x v="2"/>
    <x v="4"/>
    <x v="0"/>
    <x v="2"/>
    <n v="6"/>
    <n v="1"/>
    <d v="2019-07-28T00:00:00"/>
    <n v="0.78046898600000003"/>
    <n v="82.180763189999993"/>
    <n v="53.443393030000003"/>
    <n v="92.863800260000005"/>
    <n v="94.008836209999998"/>
    <n v="85.914826500000004"/>
  </r>
  <r>
    <n v="46"/>
    <n v="27"/>
    <x v="0"/>
    <n v="206"/>
    <n v="105"/>
    <x v="2"/>
    <x v="1"/>
    <x v="0"/>
    <x v="2"/>
    <n v="2"/>
    <n v="0"/>
    <d v="2015-09-06T00:00:00"/>
    <n v="0.93832680099999999"/>
    <n v="60.216168240000002"/>
    <n v="39.749045090000003"/>
    <n v="44.359774829999999"/>
    <n v="59.313936740000003"/>
    <n v="99.855387739999998"/>
  </r>
  <r>
    <n v="47"/>
    <n v="21"/>
    <x v="2"/>
    <n v="202"/>
    <n v="102"/>
    <x v="0"/>
    <x v="2"/>
    <x v="0"/>
    <x v="0"/>
    <n v="9"/>
    <n v="0"/>
    <d v="2021-04-02T00:00:00"/>
    <n v="0.70174143300000003"/>
    <n v="38.930621199999997"/>
    <n v="85.581763249999995"/>
    <n v="43.348140450000002"/>
    <n v="56.819696980000003"/>
    <n v="54.54982708"/>
  </r>
  <r>
    <n v="48"/>
    <n v="29"/>
    <x v="1"/>
    <n v="193"/>
    <n v="73"/>
    <x v="1"/>
    <x v="3"/>
    <x v="1"/>
    <x v="2"/>
    <n v="6"/>
    <n v="0"/>
    <d v="2019-11-20T00:00:00"/>
    <n v="0.56700761399999999"/>
    <n v="49.864313410000001"/>
    <n v="73.405092909999993"/>
    <n v="32.558476749999997"/>
    <n v="66.324239370000001"/>
    <n v="83.703180230000001"/>
  </r>
  <r>
    <n v="49"/>
    <n v="19"/>
    <x v="2"/>
    <n v="184"/>
    <n v="102"/>
    <x v="2"/>
    <x v="3"/>
    <x v="1"/>
    <x v="1"/>
    <n v="6"/>
    <n v="0"/>
    <d v="2018-11-17T00:00:00"/>
    <n v="0.51439133800000003"/>
    <n v="55.415760749999997"/>
    <n v="67.342276440000006"/>
    <n v="63.044686159999998"/>
    <n v="33.287617670000003"/>
    <n v="58.135163949999999"/>
  </r>
  <r>
    <n v="50"/>
    <n v="27"/>
    <x v="0"/>
    <n v="201"/>
    <n v="83"/>
    <x v="0"/>
    <x v="0"/>
    <x v="2"/>
    <x v="3"/>
    <n v="8"/>
    <n v="0"/>
    <d v="2016-01-14T00:00:00"/>
    <n v="0.87756862800000002"/>
    <n v="75.21420689"/>
    <n v="92.572480810000002"/>
    <n v="69.53887933"/>
    <n v="41.639835810000001"/>
    <n v="63.59129342"/>
  </r>
  <r>
    <n v="51"/>
    <n v="21"/>
    <x v="2"/>
    <n v="201"/>
    <n v="90"/>
    <x v="2"/>
    <x v="3"/>
    <x v="0"/>
    <x v="0"/>
    <n v="5"/>
    <n v="0"/>
    <d v="2017-01-06T00:00:00"/>
    <n v="0.81015477599999997"/>
    <n v="69.954481329999993"/>
    <n v="85.201804789999997"/>
    <n v="34.599604759999998"/>
    <n v="81.662353150000001"/>
    <n v="73.925382429999999"/>
  </r>
  <r>
    <n v="52"/>
    <n v="31"/>
    <x v="1"/>
    <n v="193"/>
    <n v="89"/>
    <x v="1"/>
    <x v="1"/>
    <x v="1"/>
    <x v="2"/>
    <n v="7"/>
    <n v="0"/>
    <d v="2014-01-09T00:00:00"/>
    <n v="0.85203988399999997"/>
    <n v="54.926770810000001"/>
    <n v="40.617241579999998"/>
    <n v="84.286933169999998"/>
    <n v="35.79590675"/>
    <n v="91.157397990000007"/>
  </r>
  <r>
    <n v="53"/>
    <n v="33"/>
    <x v="1"/>
    <n v="181"/>
    <n v="77"/>
    <x v="1"/>
    <x v="1"/>
    <x v="1"/>
    <x v="2"/>
    <n v="5"/>
    <n v="0"/>
    <d v="2021-11-02T00:00:00"/>
    <n v="0.60648208100000001"/>
    <n v="99.056067420000005"/>
    <n v="51.820544750000003"/>
    <n v="61.730218430000001"/>
    <n v="72.220647659999997"/>
    <n v="98.885842839999995"/>
  </r>
  <r>
    <n v="54"/>
    <n v="32"/>
    <x v="1"/>
    <n v="208"/>
    <n v="76"/>
    <x v="1"/>
    <x v="3"/>
    <x v="2"/>
    <x v="3"/>
    <n v="4"/>
    <n v="1"/>
    <d v="2014-05-12T00:00:00"/>
    <n v="0.56818573800000005"/>
    <n v="72.404237350000002"/>
    <n v="47.39423979"/>
    <n v="66.707318849999993"/>
    <n v="47.174437679999997"/>
    <n v="83.779138970000005"/>
  </r>
  <r>
    <n v="55"/>
    <n v="25"/>
    <x v="0"/>
    <n v="171"/>
    <n v="72"/>
    <x v="0"/>
    <x v="0"/>
    <x v="0"/>
    <x v="1"/>
    <n v="8"/>
    <n v="0"/>
    <d v="2021-07-03T00:00:00"/>
    <n v="0.50727233299999996"/>
    <n v="46.605875419999997"/>
    <n v="82.076240479999996"/>
    <n v="60.853392290000002"/>
    <n v="57.250692979999997"/>
    <n v="59.243674749999997"/>
  </r>
  <r>
    <n v="56"/>
    <n v="31"/>
    <x v="1"/>
    <n v="172"/>
    <n v="86"/>
    <x v="0"/>
    <x v="2"/>
    <x v="0"/>
    <x v="1"/>
    <n v="9"/>
    <n v="0"/>
    <d v="2017-03-27T00:00:00"/>
    <n v="0.67529377899999998"/>
    <n v="37.124773079999997"/>
    <n v="32.347270430000002"/>
    <n v="58.053414259999997"/>
    <n v="50.208561570000001"/>
    <n v="59.49499016"/>
  </r>
  <r>
    <n v="57"/>
    <n v="25"/>
    <x v="0"/>
    <n v="206"/>
    <n v="102"/>
    <x v="0"/>
    <x v="2"/>
    <x v="0"/>
    <x v="1"/>
    <n v="5"/>
    <n v="0"/>
    <d v="2018-06-17T00:00:00"/>
    <n v="0.79495884299999997"/>
    <n v="40.700139739999997"/>
    <n v="69.89227794"/>
    <n v="69.174823189999998"/>
    <n v="54.897090149999997"/>
    <n v="81.630761109999995"/>
  </r>
  <r>
    <n v="58"/>
    <n v="33"/>
    <x v="1"/>
    <n v="186"/>
    <n v="81"/>
    <x v="2"/>
    <x v="3"/>
    <x v="2"/>
    <x v="1"/>
    <n v="3"/>
    <n v="0"/>
    <d v="2017-03-25T00:00:00"/>
    <n v="0.69612202300000003"/>
    <n v="47.217040990000001"/>
    <n v="83.372107999999997"/>
    <n v="40.866817220000001"/>
    <n v="80.333213360000002"/>
    <n v="46.7144002"/>
  </r>
  <r>
    <n v="59"/>
    <n v="30"/>
    <x v="1"/>
    <n v="171"/>
    <n v="91"/>
    <x v="0"/>
    <x v="1"/>
    <x v="2"/>
    <x v="0"/>
    <n v="11"/>
    <n v="0"/>
    <d v="2018-05-31T00:00:00"/>
    <n v="0.71873746100000002"/>
    <n v="41.247696130000001"/>
    <n v="91.373594569999995"/>
    <n v="42.734969130000003"/>
    <n v="50.798520089999997"/>
    <n v="37.733187919999999"/>
  </r>
  <r>
    <n v="60"/>
    <n v="32"/>
    <x v="1"/>
    <n v="171"/>
    <n v="91"/>
    <x v="1"/>
    <x v="0"/>
    <x v="2"/>
    <x v="0"/>
    <n v="4"/>
    <n v="0"/>
    <d v="2018-01-24T00:00:00"/>
    <n v="0.95207934699999996"/>
    <n v="43.05969168"/>
    <n v="53.945722410000002"/>
    <n v="90.324993469999995"/>
    <n v="69.648324819999999"/>
    <n v="54.823551029999997"/>
  </r>
  <r>
    <n v="61"/>
    <n v="30"/>
    <x v="1"/>
    <n v="197"/>
    <n v="99"/>
    <x v="0"/>
    <x v="2"/>
    <x v="0"/>
    <x v="2"/>
    <n v="2"/>
    <n v="0"/>
    <d v="2019-07-17T00:00:00"/>
    <n v="0.67412773400000003"/>
    <n v="49.95666181"/>
    <n v="87.488011330000006"/>
    <n v="96.228082349999994"/>
    <n v="63.323528150000001"/>
    <n v="50.106729420000001"/>
  </r>
  <r>
    <n v="62"/>
    <n v="26"/>
    <x v="0"/>
    <n v="192"/>
    <n v="107"/>
    <x v="2"/>
    <x v="0"/>
    <x v="0"/>
    <x v="0"/>
    <n v="9"/>
    <n v="0"/>
    <d v="2017-03-31T00:00:00"/>
    <n v="0.75699474499999997"/>
    <n v="42.136151669999997"/>
    <n v="37.744221590000002"/>
    <n v="56.13165214"/>
    <n v="76.456981580000004"/>
    <n v="50.741568430000001"/>
  </r>
  <r>
    <n v="63"/>
    <n v="32"/>
    <x v="1"/>
    <n v="206"/>
    <n v="107"/>
    <x v="2"/>
    <x v="0"/>
    <x v="1"/>
    <x v="2"/>
    <n v="4"/>
    <n v="0"/>
    <d v="2018-01-18T00:00:00"/>
    <n v="0.89182650600000002"/>
    <n v="92.773579720000001"/>
    <n v="89.251660419999993"/>
    <n v="48.95212712"/>
    <n v="95.578081749999996"/>
    <n v="46.352542569999997"/>
  </r>
  <r>
    <n v="64"/>
    <n v="30"/>
    <x v="1"/>
    <n v="201"/>
    <n v="77"/>
    <x v="0"/>
    <x v="0"/>
    <x v="2"/>
    <x v="3"/>
    <n v="11"/>
    <n v="0"/>
    <d v="2016-12-31T00:00:00"/>
    <n v="0.69827139100000002"/>
    <n v="35.616362199999998"/>
    <n v="38.924206359999999"/>
    <n v="75.079968030000003"/>
    <n v="81.280046799999994"/>
    <n v="32.94652327"/>
  </r>
  <r>
    <n v="65"/>
    <n v="18"/>
    <x v="2"/>
    <n v="202"/>
    <n v="96"/>
    <x v="1"/>
    <x v="3"/>
    <x v="1"/>
    <x v="2"/>
    <n v="8"/>
    <n v="0"/>
    <d v="2017-08-18T00:00:00"/>
    <n v="0.81104335000000005"/>
    <n v="66.715797269999996"/>
    <n v="57.810110340000001"/>
    <n v="58.611391980000001"/>
    <n v="45.045826499999997"/>
    <n v="31.25117543"/>
  </r>
  <r>
    <n v="66"/>
    <n v="24"/>
    <x v="0"/>
    <n v="170"/>
    <n v="96"/>
    <x v="0"/>
    <x v="2"/>
    <x v="2"/>
    <x v="0"/>
    <n v="11"/>
    <n v="0"/>
    <d v="2021-03-17T00:00:00"/>
    <n v="0.93118185399999998"/>
    <n v="58.727777889999999"/>
    <n v="85.810675599999996"/>
    <n v="31.7770449"/>
    <n v="32.182819449999997"/>
    <n v="99.140567279999999"/>
  </r>
  <r>
    <n v="67"/>
    <n v="26"/>
    <x v="0"/>
    <n v="188"/>
    <n v="103"/>
    <x v="2"/>
    <x v="3"/>
    <x v="0"/>
    <x v="1"/>
    <n v="6"/>
    <n v="1"/>
    <d v="2015-02-04T00:00:00"/>
    <n v="0.97476031200000002"/>
    <n v="98.766503180000001"/>
    <n v="40.494219909999998"/>
    <n v="40.930681819999997"/>
    <n v="48.358483100000001"/>
    <n v="59.944119360000002"/>
  </r>
  <r>
    <n v="68"/>
    <n v="18"/>
    <x v="2"/>
    <n v="171"/>
    <n v="90"/>
    <x v="0"/>
    <x v="1"/>
    <x v="0"/>
    <x v="3"/>
    <n v="11"/>
    <n v="1"/>
    <d v="2016-08-22T00:00:00"/>
    <n v="0.57353673999999999"/>
    <n v="37.842723149999998"/>
    <n v="46.047597670000002"/>
    <n v="80.118056019999997"/>
    <n v="71.655455149999995"/>
    <n v="56.902865300000002"/>
  </r>
  <r>
    <n v="69"/>
    <n v="29"/>
    <x v="1"/>
    <n v="195"/>
    <n v="99"/>
    <x v="0"/>
    <x v="4"/>
    <x v="0"/>
    <x v="2"/>
    <n v="6"/>
    <n v="0"/>
    <d v="2017-07-06T00:00:00"/>
    <n v="0.96329381300000005"/>
    <n v="57.849891929999998"/>
    <n v="80.557679789999995"/>
    <n v="76.124675929999995"/>
    <n v="33.599806940000001"/>
    <n v="77.575309790000006"/>
  </r>
  <r>
    <n v="70"/>
    <n v="25"/>
    <x v="0"/>
    <n v="201"/>
    <n v="102"/>
    <x v="1"/>
    <x v="3"/>
    <x v="0"/>
    <x v="0"/>
    <n v="8"/>
    <n v="1"/>
    <d v="2021-06-05T00:00:00"/>
    <n v="0.74605814699999995"/>
    <n v="97.862930329999998"/>
    <n v="80.402557560000005"/>
    <n v="31.896719480000002"/>
    <n v="64.745637299999999"/>
    <n v="45.277772149999997"/>
  </r>
  <r>
    <n v="71"/>
    <n v="28"/>
    <x v="1"/>
    <n v="175"/>
    <n v="97"/>
    <x v="2"/>
    <x v="0"/>
    <x v="1"/>
    <x v="2"/>
    <n v="10"/>
    <n v="0"/>
    <d v="2021-07-23T00:00:00"/>
    <n v="0.62912219400000002"/>
    <n v="90.585498810000004"/>
    <n v="74.880334300000001"/>
    <n v="45.538051340000003"/>
    <n v="71.778999420000005"/>
    <n v="96.49728288"/>
  </r>
  <r>
    <n v="72"/>
    <n v="34"/>
    <x v="1"/>
    <n v="201"/>
    <n v="102"/>
    <x v="2"/>
    <x v="0"/>
    <x v="0"/>
    <x v="3"/>
    <n v="6"/>
    <n v="0"/>
    <d v="2016-06-15T00:00:00"/>
    <n v="0.729567878"/>
    <n v="87.195044969999998"/>
    <n v="78.576391110000003"/>
    <n v="46.17523576"/>
    <n v="53.397072360000003"/>
    <n v="85.044151009999993"/>
  </r>
  <r>
    <n v="73"/>
    <n v="25"/>
    <x v="0"/>
    <n v="173"/>
    <n v="74"/>
    <x v="1"/>
    <x v="0"/>
    <x v="0"/>
    <x v="3"/>
    <n v="2"/>
    <n v="0"/>
    <d v="2014-10-14T00:00:00"/>
    <n v="0.99001628799999997"/>
    <n v="48.05319789"/>
    <n v="67.99071103"/>
    <n v="77.032492050000002"/>
    <n v="83.963854260000005"/>
    <n v="36.258770159999997"/>
  </r>
  <r>
    <n v="74"/>
    <n v="20"/>
    <x v="2"/>
    <n v="180"/>
    <n v="88"/>
    <x v="0"/>
    <x v="4"/>
    <x v="1"/>
    <x v="0"/>
    <n v="11"/>
    <n v="0"/>
    <d v="2015-08-20T00:00:00"/>
    <n v="0.746309047"/>
    <n v="41.962131120000002"/>
    <n v="47.625934119999997"/>
    <n v="31.379737639999998"/>
    <n v="37.461877719999997"/>
    <n v="59.230654299999998"/>
  </r>
  <r>
    <n v="75"/>
    <n v="20"/>
    <x v="2"/>
    <n v="186"/>
    <n v="73"/>
    <x v="2"/>
    <x v="3"/>
    <x v="0"/>
    <x v="0"/>
    <n v="11"/>
    <n v="0"/>
    <d v="2014-10-29T00:00:00"/>
    <n v="0.66437580500000004"/>
    <n v="76.805025389999997"/>
    <n v="54.19871955"/>
    <n v="37.287600740000002"/>
    <n v="35.259644719999997"/>
    <n v="91.538281530000006"/>
  </r>
  <r>
    <n v="76"/>
    <n v="18"/>
    <x v="2"/>
    <n v="207"/>
    <n v="104"/>
    <x v="0"/>
    <x v="1"/>
    <x v="2"/>
    <x v="0"/>
    <n v="2"/>
    <n v="0"/>
    <d v="2016-08-18T00:00:00"/>
    <n v="0.81670042700000001"/>
    <n v="95.056319239999993"/>
    <n v="42.711840180000003"/>
    <n v="85.994125980000007"/>
    <n v="80.973212930000003"/>
    <n v="96.131241560000007"/>
  </r>
  <r>
    <n v="77"/>
    <n v="22"/>
    <x v="2"/>
    <n v="193"/>
    <n v="86"/>
    <x v="0"/>
    <x v="3"/>
    <x v="2"/>
    <x v="3"/>
    <n v="3"/>
    <n v="0"/>
    <d v="2016-12-10T00:00:00"/>
    <n v="0.62007280899999995"/>
    <n v="68.97340251"/>
    <n v="93.59153929"/>
    <n v="42.498126339999999"/>
    <n v="64.684392130000006"/>
    <n v="62.718105790000003"/>
  </r>
  <r>
    <n v="78"/>
    <n v="27"/>
    <x v="0"/>
    <n v="174"/>
    <n v="97"/>
    <x v="0"/>
    <x v="4"/>
    <x v="0"/>
    <x v="0"/>
    <n v="7"/>
    <n v="0"/>
    <d v="2017-07-24T00:00:00"/>
    <n v="0.53793166400000003"/>
    <n v="70.012888259999997"/>
    <n v="70.837425629999998"/>
    <n v="75.692227549999998"/>
    <n v="78.188167750000005"/>
    <n v="72.93879724"/>
  </r>
  <r>
    <n v="79"/>
    <n v="24"/>
    <x v="0"/>
    <n v="203"/>
    <n v="99"/>
    <x v="1"/>
    <x v="1"/>
    <x v="2"/>
    <x v="2"/>
    <n v="10"/>
    <n v="1"/>
    <d v="2021-04-06T00:00:00"/>
    <n v="0.56443986099999999"/>
    <n v="49.598536559999999"/>
    <n v="58.059599169999998"/>
    <n v="46.672794670000002"/>
    <n v="60.437913700000003"/>
    <n v="41.692376230000001"/>
  </r>
  <r>
    <n v="80"/>
    <n v="26"/>
    <x v="0"/>
    <n v="175"/>
    <n v="98"/>
    <x v="2"/>
    <x v="0"/>
    <x v="2"/>
    <x v="0"/>
    <n v="9"/>
    <n v="0"/>
    <d v="2014-01-19T00:00:00"/>
    <n v="0.56402291900000001"/>
    <n v="83.864505320000006"/>
    <n v="62.340406260000002"/>
    <n v="36.960897490000001"/>
    <n v="47.24814233"/>
    <n v="99.381803829999996"/>
  </r>
  <r>
    <n v="81"/>
    <n v="24"/>
    <x v="0"/>
    <n v="191"/>
    <n v="75"/>
    <x v="2"/>
    <x v="1"/>
    <x v="0"/>
    <x v="1"/>
    <n v="6"/>
    <n v="0"/>
    <d v="2021-04-28T00:00:00"/>
    <n v="0.57595134699999995"/>
    <n v="43.093062400000001"/>
    <n v="96.309833769999997"/>
    <n v="47.022053370000002"/>
    <n v="87.337162239999998"/>
    <n v="46.217019100000002"/>
  </r>
  <r>
    <n v="82"/>
    <n v="26"/>
    <x v="0"/>
    <n v="180"/>
    <n v="104"/>
    <x v="1"/>
    <x v="4"/>
    <x v="0"/>
    <x v="2"/>
    <n v="2"/>
    <n v="1"/>
    <d v="2015-04-14T00:00:00"/>
    <n v="0.56941358600000003"/>
    <n v="52.657546549999999"/>
    <n v="40.734598220000002"/>
    <n v="80.558685229999995"/>
    <n v="85.959111530000001"/>
    <n v="95.991224189999997"/>
  </r>
  <r>
    <n v="83"/>
    <n v="25"/>
    <x v="0"/>
    <n v="185"/>
    <n v="106"/>
    <x v="2"/>
    <x v="2"/>
    <x v="1"/>
    <x v="1"/>
    <n v="8"/>
    <n v="1"/>
    <d v="2021-06-01T00:00:00"/>
    <n v="0.820437372"/>
    <n v="59.780550699999999"/>
    <n v="71.036088239999998"/>
    <n v="89.898752770000002"/>
    <n v="78.62875296"/>
    <n v="75.475265429999993"/>
  </r>
  <r>
    <n v="84"/>
    <n v="29"/>
    <x v="1"/>
    <n v="202"/>
    <n v="93"/>
    <x v="1"/>
    <x v="3"/>
    <x v="1"/>
    <x v="3"/>
    <n v="6"/>
    <n v="1"/>
    <d v="2016-03-08T00:00:00"/>
    <n v="0.59094004200000005"/>
    <n v="65.532726510000003"/>
    <n v="65.412207519999995"/>
    <n v="88.115390520000005"/>
    <n v="49.050159610000001"/>
    <n v="72.541575640000005"/>
  </r>
  <r>
    <n v="85"/>
    <n v="19"/>
    <x v="2"/>
    <n v="178"/>
    <n v="98"/>
    <x v="0"/>
    <x v="2"/>
    <x v="2"/>
    <x v="2"/>
    <n v="7"/>
    <n v="0"/>
    <d v="2013-12-01T00:00:00"/>
    <n v="0.67283364199999995"/>
    <n v="46.968681269999998"/>
    <n v="72.801796479999993"/>
    <n v="57.802847069999999"/>
    <n v="71.316146680000003"/>
    <n v="65.888195769999996"/>
  </r>
  <r>
    <n v="86"/>
    <n v="18"/>
    <x v="2"/>
    <n v="175"/>
    <n v="100"/>
    <x v="0"/>
    <x v="1"/>
    <x v="1"/>
    <x v="0"/>
    <n v="8"/>
    <n v="0"/>
    <d v="2015-10-31T00:00:00"/>
    <n v="0.94839420500000005"/>
    <n v="38.03857773"/>
    <n v="31.26771287"/>
    <n v="76.765959559999999"/>
    <n v="55.268172790000001"/>
    <n v="46.146886819999999"/>
  </r>
  <r>
    <n v="87"/>
    <n v="33"/>
    <x v="1"/>
    <n v="185"/>
    <n v="104"/>
    <x v="0"/>
    <x v="3"/>
    <x v="0"/>
    <x v="1"/>
    <n v="4"/>
    <n v="0"/>
    <d v="2019-02-19T00:00:00"/>
    <n v="0.73698081999999998"/>
    <n v="72.743402970000005"/>
    <n v="91.048673629999996"/>
    <n v="44.34890068"/>
    <n v="36.410745130000002"/>
    <n v="42.356962240000001"/>
  </r>
  <r>
    <n v="88"/>
    <n v="22"/>
    <x v="2"/>
    <n v="198"/>
    <n v="102"/>
    <x v="0"/>
    <x v="0"/>
    <x v="0"/>
    <x v="3"/>
    <n v="11"/>
    <n v="0"/>
    <d v="2020-10-14T00:00:00"/>
    <n v="0.83377886899999998"/>
    <n v="50.204138729999997"/>
    <n v="95.248279769999996"/>
    <n v="50.520341119999998"/>
    <n v="94.211950279999996"/>
    <n v="45.434034629999999"/>
  </r>
  <r>
    <n v="89"/>
    <n v="20"/>
    <x v="2"/>
    <n v="172"/>
    <n v="90"/>
    <x v="0"/>
    <x v="2"/>
    <x v="0"/>
    <x v="2"/>
    <n v="4"/>
    <n v="1"/>
    <d v="2017-02-27T00:00:00"/>
    <n v="0.58615993600000005"/>
    <n v="70.686675500000007"/>
    <n v="69.559322850000001"/>
    <n v="92.743507300000005"/>
    <n v="39.577304159999997"/>
    <n v="43.050678349999998"/>
  </r>
  <r>
    <n v="90"/>
    <n v="29"/>
    <x v="1"/>
    <n v="189"/>
    <n v="101"/>
    <x v="0"/>
    <x v="3"/>
    <x v="0"/>
    <x v="3"/>
    <n v="6"/>
    <n v="0"/>
    <d v="2016-05-07T00:00:00"/>
    <n v="0.59614450900000004"/>
    <n v="40.805390070000001"/>
    <n v="78.765557670000007"/>
    <n v="30.91013465"/>
    <n v="96.516614770000004"/>
    <n v="84.570913149999996"/>
  </r>
  <r>
    <n v="91"/>
    <n v="25"/>
    <x v="0"/>
    <n v="205"/>
    <n v="92"/>
    <x v="2"/>
    <x v="3"/>
    <x v="1"/>
    <x v="0"/>
    <n v="7"/>
    <n v="1"/>
    <d v="2019-05-20T00:00:00"/>
    <n v="0.52043430800000001"/>
    <n v="63.67980713"/>
    <n v="94.57495668"/>
    <n v="35.985597159999998"/>
    <n v="61.220404109999997"/>
    <n v="54.508768140000001"/>
  </r>
  <r>
    <n v="92"/>
    <n v="20"/>
    <x v="2"/>
    <n v="188"/>
    <n v="102"/>
    <x v="0"/>
    <x v="4"/>
    <x v="1"/>
    <x v="0"/>
    <n v="10"/>
    <n v="1"/>
    <d v="2020-09-03T00:00:00"/>
    <n v="0.58446753200000001"/>
    <n v="67.281260279999998"/>
    <n v="79.506704400000004"/>
    <n v="44.552037859999999"/>
    <n v="42.959305020000002"/>
    <n v="34.048987359999998"/>
  </r>
  <r>
    <n v="93"/>
    <n v="18"/>
    <x v="2"/>
    <n v="195"/>
    <n v="72"/>
    <x v="1"/>
    <x v="0"/>
    <x v="0"/>
    <x v="3"/>
    <n v="6"/>
    <n v="1"/>
    <d v="2021-06-01T00:00:00"/>
    <n v="0.63929517000000002"/>
    <n v="33.627647580000001"/>
    <n v="40.677733000000003"/>
    <n v="31.857254269999999"/>
    <n v="67.933066319999995"/>
    <n v="97.837184109999995"/>
  </r>
  <r>
    <n v="94"/>
    <n v="20"/>
    <x v="2"/>
    <n v="172"/>
    <n v="87"/>
    <x v="2"/>
    <x v="0"/>
    <x v="1"/>
    <x v="0"/>
    <n v="2"/>
    <n v="0"/>
    <d v="2021-06-21T00:00:00"/>
    <n v="0.58850524199999998"/>
    <n v="53.562299469999999"/>
    <n v="70.340185210000001"/>
    <n v="42.700480460000001"/>
    <n v="91.106208510000002"/>
    <n v="91.865011949999996"/>
  </r>
  <r>
    <n v="95"/>
    <n v="22"/>
    <x v="2"/>
    <n v="188"/>
    <n v="94"/>
    <x v="1"/>
    <x v="1"/>
    <x v="1"/>
    <x v="0"/>
    <n v="5"/>
    <n v="0"/>
    <d v="2016-05-03T00:00:00"/>
    <n v="0.54435126700000003"/>
    <n v="39.409027389999999"/>
    <n v="72.470053250000007"/>
    <n v="70.812909270000006"/>
    <n v="81.255742049999995"/>
    <n v="94.942659820000003"/>
  </r>
  <r>
    <n v="96"/>
    <n v="32"/>
    <x v="1"/>
    <n v="189"/>
    <n v="100"/>
    <x v="0"/>
    <x v="2"/>
    <x v="1"/>
    <x v="0"/>
    <n v="6"/>
    <n v="0"/>
    <d v="2021-11-25T00:00:00"/>
    <n v="0.56031793600000002"/>
    <n v="34.43624793"/>
    <n v="59.689146989999998"/>
    <n v="59.499718540000003"/>
    <n v="86.45928035"/>
    <n v="99.643547589999997"/>
  </r>
  <r>
    <n v="97"/>
    <n v="31"/>
    <x v="1"/>
    <n v="201"/>
    <n v="72"/>
    <x v="1"/>
    <x v="1"/>
    <x v="2"/>
    <x v="1"/>
    <n v="11"/>
    <n v="1"/>
    <d v="2018-02-19T00:00:00"/>
    <n v="0.73038938399999997"/>
    <n v="99.297216270000007"/>
    <n v="81.551096490000006"/>
    <n v="92.487019779999997"/>
    <n v="76.114835670000005"/>
    <n v="42.172667449999999"/>
  </r>
  <r>
    <n v="98"/>
    <n v="20"/>
    <x v="2"/>
    <n v="176"/>
    <n v="109"/>
    <x v="2"/>
    <x v="1"/>
    <x v="0"/>
    <x v="2"/>
    <n v="11"/>
    <n v="0"/>
    <d v="2014-11-15T00:00:00"/>
    <n v="0.603166859"/>
    <n v="52.564769149999997"/>
    <n v="95.40569103"/>
    <n v="87.221049320000006"/>
    <n v="78.459359520000007"/>
    <n v="57.73694132"/>
  </r>
  <r>
    <n v="99"/>
    <n v="18"/>
    <x v="2"/>
    <n v="202"/>
    <n v="93"/>
    <x v="0"/>
    <x v="3"/>
    <x v="1"/>
    <x v="3"/>
    <n v="6"/>
    <n v="0"/>
    <d v="2018-03-27T00:00:00"/>
    <n v="0.682134931"/>
    <n v="86.691211210000006"/>
    <n v="94.789795900000001"/>
    <n v="53.927214620000001"/>
    <n v="89.443695610000006"/>
    <n v="83.076693300000002"/>
  </r>
  <r>
    <n v="100"/>
    <n v="22"/>
    <x v="2"/>
    <n v="209"/>
    <n v="101"/>
    <x v="1"/>
    <x v="1"/>
    <x v="0"/>
    <x v="3"/>
    <n v="8"/>
    <n v="0"/>
    <d v="2021-10-30T00:00:00"/>
    <n v="0.75170863499999996"/>
    <n v="47.824845830000001"/>
    <n v="61.558756000000002"/>
    <n v="48.159640340000003"/>
    <n v="47.47676062"/>
    <n v="78.72144326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528011-0557-41B6-AC0B-8611605D2A10}" name="PivotTable5" cacheId="6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49:I55" firstHeaderRow="1" firstDataRow="2" firstDataCol="1"/>
  <pivotFields count="1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6">
        <item x="0"/>
        <item x="1"/>
        <item x="4"/>
        <item x="2"/>
        <item x="3"/>
        <item t="default"/>
      </items>
    </pivotField>
    <pivotField compact="0" outline="0" showAll="0"/>
    <pivotField axis="axisRow" compact="0" outline="0" showAll="0">
      <items count="5">
        <item x="3"/>
        <item x="1"/>
        <item x="0"/>
        <item x="2"/>
        <item t="default"/>
      </items>
    </pivotField>
    <pivotField compact="0" outline="0" showAll="0"/>
    <pivotField dataField="1"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Injury Recurrence" fld="10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63D8E8-8DE5-4334-AF99-B0448C1AAD9F}" name="PivotTable2" cacheId="6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16:I21" firstHeaderRow="1" firstDataRow="2" firstDataCol="1"/>
  <pivotFields count="1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6">
        <item x="0"/>
        <item x="1"/>
        <item x="4"/>
        <item x="2"/>
        <item x="3"/>
        <item t="default"/>
      </items>
    </pivotField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Injury Type" fld="6" subtotal="count" baseField="0" baseItem="0"/>
  </dataFields>
  <formats count="6">
    <format dxfId="23">
      <pivotArea dataOnly="0" labelOnly="1" grandRow="1" outline="0" fieldPosition="0"/>
    </format>
    <format dxfId="24">
      <pivotArea dataOnly="0" labelOnly="1" outline="0" fieldPosition="0">
        <references count="1">
          <reference field="7" count="0"/>
        </references>
      </pivotArea>
    </format>
    <format dxfId="25">
      <pivotArea dataOnly="0" labelOnly="1" outline="0" fieldPosition="0">
        <references count="1">
          <reference field="7" count="0"/>
        </references>
      </pivotArea>
    </format>
    <format dxfId="26">
      <pivotArea dataOnly="0" labelOnly="1" grandRow="1" outline="0" fieldPosition="0"/>
    </format>
    <format dxfId="27">
      <pivotArea grandRow="1" outline="0" collapsedLevelsAreSubtotals="1" fieldPosition="0"/>
    </format>
    <format dxfId="28">
      <pivotArea grandRow="1" outline="0" collapsedLevelsAreSubtotals="1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76CA7A-CD50-48B5-B801-D5256928AEE9}" name="PivotTable4" cacheId="6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40:G45" firstHeaderRow="1" firstDataRow="2" firstDataCol="1"/>
  <pivotFields count="18">
    <pivotField compact="0" outline="0" showAll="0"/>
    <pivotField compact="0" outline="0" showAll="0"/>
    <pivotField axis="axisRow" compact="0" outline="0" showAll="0">
      <items count="4">
        <item x="2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Col" dataField="1"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Count of Injury Severity" fld="7" subtotal="count" baseField="0" baseItem="0"/>
  </dataFields>
  <formats count="3">
    <format dxfId="20">
      <pivotArea dataOnly="0" labelOnly="1" outline="0" fieldPosition="0">
        <references count="1">
          <reference field="2" count="0"/>
        </references>
      </pivotArea>
    </format>
    <format dxfId="21">
      <pivotArea grandRow="1" outline="0" collapsedLevelsAreSubtotals="1" fieldPosition="0"/>
    </format>
    <format dxfId="22">
      <pivotArea dataOnly="0" labelOnly="1" grandRow="1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C71725-F718-402F-B033-B94D57633369}" name="PivotTable1" cacheId="6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3:I8" firstHeaderRow="1" firstDataRow="2" firstDataCol="1"/>
  <pivotFields count="1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axis="axisCol" dataField="1" compact="0" outline="0" showAll="0">
      <items count="6">
        <item x="0"/>
        <item x="1"/>
        <item x="4"/>
        <item x="2"/>
        <item x="3"/>
        <item t="default"/>
      </items>
    </pivotField>
    <pivotField compact="0" outline="0" showAll="0">
      <items count="4">
        <item x="1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Injury Type" fld="6" subtotal="count" baseField="0" baseItem="0"/>
  </dataFields>
  <formats count="12">
    <format dxfId="8">
      <pivotArea field="5" grandCol="1" outline="0" axis="axisRow" fieldPosition="0">
        <references count="1">
          <reference field="5" count="1" selected="0">
            <x v="0"/>
          </reference>
        </references>
      </pivotArea>
    </format>
    <format dxfId="9">
      <pivotArea field="5" grandCol="1" outline="0" axis="axisRow" fieldPosition="0">
        <references count="1">
          <reference field="5" count="1" selected="0">
            <x v="1"/>
          </reference>
        </references>
      </pivotArea>
    </format>
    <format dxfId="10">
      <pivotArea field="5" grandCol="1" outline="0" axis="axisRow" fieldPosition="0">
        <references count="1">
          <reference field="5" count="1" selected="0">
            <x v="2"/>
          </reference>
        </references>
      </pivotArea>
    </format>
    <format dxfId="11">
      <pivotArea dataOnly="0" labelOnly="1" outline="0" fieldPosition="0">
        <references count="1">
          <reference field="5" count="0"/>
        </references>
      </pivotArea>
    </format>
    <format dxfId="12">
      <pivotArea field="5" grandCol="1" outline="0" axis="axisRow" fieldPosition="0">
        <references count="1">
          <reference field="5" count="0" selected="0"/>
        </references>
      </pivotArea>
    </format>
    <format dxfId="13">
      <pivotArea grandRow="1" outline="0" collapsedLevelsAreSubtotals="1" fieldPosition="0"/>
    </format>
    <format dxfId="14">
      <pivotArea dataOnly="0" labelOnly="1" grandRow="1" outline="0" fieldPosition="0"/>
    </format>
    <format dxfId="15">
      <pivotArea field="5" grandCol="1" outline="0" axis="axisRow" fieldPosition="0">
        <references count="1">
          <reference field="5" count="0" selected="0"/>
        </references>
      </pivotArea>
    </format>
    <format dxfId="16">
      <pivotArea dataOnly="0" labelOnly="1" outline="0" fieldPosition="0">
        <references count="1">
          <reference field="5" count="0"/>
        </references>
      </pivotArea>
    </format>
    <format dxfId="17">
      <pivotArea dataOnly="0" labelOnly="1" grandRow="1" outline="0" fieldPosition="0"/>
    </format>
    <format dxfId="18">
      <pivotArea grandRow="1" outline="0" collapsedLevelsAreSubtotals="1" fieldPosition="0"/>
    </format>
    <format dxfId="19">
      <pivotArea dataOnly="0" labelOnly="1" outline="0" fieldPosition="0">
        <references count="1">
          <reference field="5" count="0"/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3197AD-5171-4867-A20F-BDD2EB925648}" name="PivotTable3" cacheId="6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28:I34" firstHeaderRow="1" firstDataRow="2" firstDataCol="1"/>
  <pivotFields count="18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6">
        <item x="0"/>
        <item x="1"/>
        <item x="4"/>
        <item x="2"/>
        <item x="3"/>
        <item t="default"/>
      </items>
    </pivotField>
    <pivotField compact="0" outline="0" showAll="0"/>
    <pivotField axis="axisRow" dataField="1" compact="0" outline="0" showAll="0">
      <items count="5">
        <item x="3"/>
        <item x="1"/>
        <item x="0"/>
        <item x="2"/>
        <item t="default"/>
      </items>
    </pivotField>
    <pivotField compact="0" outline="0" showAll="0"/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Rehabilitation Program" fld="8" subtotal="count" baseField="0" baseItem="0"/>
  </dataFields>
  <formats count="8">
    <format dxfId="0">
      <pivotArea dataOnly="0" labelOnly="1" outline="0" fieldPosition="0">
        <references count="1">
          <reference field="8" count="0"/>
        </references>
      </pivotArea>
    </format>
    <format dxfId="1">
      <pivotArea dataOnly="0" labelOnly="1" grandRow="1" outline="0" fieldPosition="0"/>
    </format>
    <format dxfId="2">
      <pivotArea dataOnly="0" labelOnly="1" outline="0" fieldPosition="0">
        <references count="1">
          <reference field="8" count="0"/>
        </references>
      </pivotArea>
    </format>
    <format dxfId="3">
      <pivotArea grandRow="1" outline="0" collapsedLevelsAreSubtotals="1" fieldPosition="0"/>
    </format>
    <format dxfId="4">
      <pivotArea dataOnly="0" labelOnly="1" grandRow="1" outline="0" fieldPosition="0"/>
    </format>
    <format dxfId="5">
      <pivotArea dataOnly="0" labelOnly="1" outline="0" fieldPosition="0">
        <references count="1">
          <reference field="8" count="0"/>
        </references>
      </pivotArea>
    </format>
    <format dxfId="6">
      <pivotArea dataOnly="0" labelOnly="1" grandRow="1" outline="0" fieldPosition="0"/>
    </format>
    <format dxfId="7">
      <pivotArea grandRow="1" outline="0" collapsedLevelsAreSubtotals="1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6-04-03T06:37:39.55" personId="{0094019E-A2DA-45BB-8ED1-AA990E783D91}" id="{4FAA8AB1-263F-40F9-98B4-58328FC9EC45}">
    <text xml:space="preserve">incorporate age bracket and compare to injury type
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51137-2B81-45FE-A82D-1BB0D1EC3073}">
  <dimension ref="A1:D15"/>
  <sheetViews>
    <sheetView workbookViewId="0">
      <selection activeCell="J15" sqref="J15"/>
    </sheetView>
  </sheetViews>
  <sheetFormatPr defaultRowHeight="15"/>
  <cols>
    <col min="1" max="1" width="36.5703125" bestFit="1" customWidth="1"/>
  </cols>
  <sheetData>
    <row r="1" spans="1:4" ht="18.75">
      <c r="A1" s="5" t="s">
        <v>0</v>
      </c>
      <c r="B1" s="4"/>
      <c r="C1" s="4"/>
      <c r="D1" s="4"/>
    </row>
    <row r="2" spans="1:4">
      <c r="A2" s="6"/>
    </row>
    <row r="3" spans="1:4">
      <c r="A3" s="6" t="s">
        <v>1</v>
      </c>
      <c r="B3" s="3"/>
      <c r="C3" s="3"/>
      <c r="D3" s="3"/>
    </row>
    <row r="4" spans="1:4">
      <c r="A4" s="6"/>
    </row>
    <row r="5" spans="1:4" ht="29.25">
      <c r="A5" s="7" t="s">
        <v>2</v>
      </c>
    </row>
    <row r="6" spans="1:4">
      <c r="A6" s="8"/>
    </row>
    <row r="7" spans="1:4" ht="29.25">
      <c r="A7" s="9" t="s">
        <v>3</v>
      </c>
    </row>
    <row r="8" spans="1:4">
      <c r="A8" s="8"/>
    </row>
    <row r="9" spans="1:4" ht="29.25">
      <c r="A9" s="9" t="s">
        <v>4</v>
      </c>
    </row>
    <row r="10" spans="1:4">
      <c r="A10" s="8"/>
    </row>
    <row r="11" spans="1:4">
      <c r="A11" s="8"/>
    </row>
    <row r="12" spans="1:4" ht="29.25">
      <c r="A12" s="9" t="s">
        <v>5</v>
      </c>
    </row>
    <row r="13" spans="1:4">
      <c r="A13" s="8"/>
    </row>
    <row r="14" spans="1:4">
      <c r="A14" s="8"/>
    </row>
    <row r="15" spans="1:4" ht="43.5">
      <c r="A15" s="10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EFE6A-C09B-44CF-82B8-F57EA61BBEEA}">
  <dimension ref="A1:Q101"/>
  <sheetViews>
    <sheetView workbookViewId="0">
      <selection activeCell="G40" sqref="G40"/>
    </sheetView>
  </sheetViews>
  <sheetFormatPr defaultRowHeight="15"/>
  <sheetData>
    <row r="1" spans="1:17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</row>
    <row r="2" spans="1:17">
      <c r="A2">
        <v>1</v>
      </c>
      <c r="B2">
        <v>24</v>
      </c>
      <c r="C2">
        <v>195</v>
      </c>
      <c r="D2">
        <v>108</v>
      </c>
      <c r="E2" t="s">
        <v>24</v>
      </c>
      <c r="F2" t="s">
        <v>25</v>
      </c>
      <c r="G2" t="s">
        <v>26</v>
      </c>
      <c r="H2" t="s">
        <v>27</v>
      </c>
      <c r="I2">
        <v>7</v>
      </c>
      <c r="J2">
        <v>0</v>
      </c>
      <c r="K2" s="11">
        <v>43088</v>
      </c>
      <c r="L2">
        <v>0.86285975419418004</v>
      </c>
      <c r="M2">
        <v>78.327638004055501</v>
      </c>
      <c r="N2">
        <v>77.705190555675003</v>
      </c>
      <c r="O2">
        <v>37.926663208852801</v>
      </c>
      <c r="P2">
        <v>56.578468571708598</v>
      </c>
      <c r="Q2">
        <v>64.259747455019806</v>
      </c>
    </row>
    <row r="3" spans="1:17">
      <c r="A3">
        <v>2</v>
      </c>
      <c r="B3">
        <v>32</v>
      </c>
      <c r="C3">
        <v>183</v>
      </c>
      <c r="D3">
        <v>87</v>
      </c>
      <c r="E3" t="s">
        <v>28</v>
      </c>
      <c r="F3" t="s">
        <v>29</v>
      </c>
      <c r="G3" t="s">
        <v>30</v>
      </c>
      <c r="H3" t="s">
        <v>27</v>
      </c>
      <c r="I3">
        <v>8</v>
      </c>
      <c r="J3">
        <v>0</v>
      </c>
      <c r="K3" s="11">
        <v>42957</v>
      </c>
      <c r="L3">
        <v>0.80670759796789404</v>
      </c>
      <c r="M3">
        <v>32.751849788876903</v>
      </c>
      <c r="N3">
        <v>83.215950192278001</v>
      </c>
      <c r="O3">
        <v>98.938883927363406</v>
      </c>
      <c r="P3">
        <v>71.320645976036502</v>
      </c>
      <c r="Q3">
        <v>45.484660927372097</v>
      </c>
    </row>
    <row r="4" spans="1:17">
      <c r="A4">
        <v>3</v>
      </c>
      <c r="B4">
        <v>28</v>
      </c>
      <c r="C4">
        <v>208</v>
      </c>
      <c r="D4">
        <v>109</v>
      </c>
      <c r="E4" t="s">
        <v>24</v>
      </c>
      <c r="F4" t="s">
        <v>31</v>
      </c>
      <c r="G4" t="s">
        <v>32</v>
      </c>
      <c r="H4" t="s">
        <v>33</v>
      </c>
      <c r="I4">
        <v>3</v>
      </c>
      <c r="J4">
        <v>0</v>
      </c>
      <c r="K4" s="11">
        <v>43425</v>
      </c>
      <c r="L4">
        <v>0.70912151814530899</v>
      </c>
      <c r="M4">
        <v>85.958727923632907</v>
      </c>
      <c r="N4">
        <v>71.694711842549097</v>
      </c>
      <c r="O4">
        <v>88.722866051215306</v>
      </c>
      <c r="P4">
        <v>48.764454857601301</v>
      </c>
      <c r="Q4">
        <v>99.136760559765193</v>
      </c>
    </row>
    <row r="5" spans="1:17">
      <c r="A5">
        <v>4</v>
      </c>
      <c r="B5">
        <v>25</v>
      </c>
      <c r="C5">
        <v>196</v>
      </c>
      <c r="D5">
        <v>70</v>
      </c>
      <c r="E5" t="s">
        <v>28</v>
      </c>
      <c r="F5" t="s">
        <v>34</v>
      </c>
      <c r="G5" t="s">
        <v>32</v>
      </c>
      <c r="H5" t="s">
        <v>35</v>
      </c>
      <c r="I5">
        <v>11</v>
      </c>
      <c r="J5">
        <v>0</v>
      </c>
      <c r="K5" s="11">
        <v>42934</v>
      </c>
      <c r="L5">
        <v>0.96636424167700596</v>
      </c>
      <c r="M5">
        <v>73.953027264363499</v>
      </c>
      <c r="N5">
        <v>63.010333198510999</v>
      </c>
      <c r="O5">
        <v>38.726387684228598</v>
      </c>
      <c r="P5">
        <v>73.690423549439302</v>
      </c>
      <c r="Q5">
        <v>96.084153778062898</v>
      </c>
    </row>
    <row r="6" spans="1:17">
      <c r="A6">
        <v>5</v>
      </c>
      <c r="B6">
        <v>24</v>
      </c>
      <c r="C6">
        <v>178</v>
      </c>
      <c r="D6">
        <v>80</v>
      </c>
      <c r="E6" t="s">
        <v>36</v>
      </c>
      <c r="F6" t="s">
        <v>34</v>
      </c>
      <c r="G6" t="s">
        <v>32</v>
      </c>
      <c r="H6" t="s">
        <v>37</v>
      </c>
      <c r="I6">
        <v>3</v>
      </c>
      <c r="J6">
        <v>1</v>
      </c>
      <c r="K6" s="11">
        <v>42068</v>
      </c>
      <c r="L6">
        <v>0.93303194475020401</v>
      </c>
      <c r="M6">
        <v>35.723132236421002</v>
      </c>
      <c r="N6">
        <v>58.828863990308797</v>
      </c>
      <c r="O6">
        <v>94.458931783216002</v>
      </c>
      <c r="P6">
        <v>58.658815653386803</v>
      </c>
      <c r="Q6">
        <v>32.7598767957954</v>
      </c>
    </row>
    <row r="7" spans="1:17">
      <c r="A7">
        <v>6</v>
      </c>
      <c r="B7">
        <v>28</v>
      </c>
      <c r="C7">
        <v>184</v>
      </c>
      <c r="D7">
        <v>97</v>
      </c>
      <c r="E7" t="s">
        <v>36</v>
      </c>
      <c r="F7" t="s">
        <v>29</v>
      </c>
      <c r="G7" t="s">
        <v>26</v>
      </c>
      <c r="H7" t="s">
        <v>27</v>
      </c>
      <c r="I7">
        <v>11</v>
      </c>
      <c r="J7">
        <v>1</v>
      </c>
      <c r="K7" s="11">
        <v>43249</v>
      </c>
      <c r="L7">
        <v>0.52260933505309404</v>
      </c>
      <c r="M7">
        <v>91.150503687474398</v>
      </c>
      <c r="N7">
        <v>54.420778658009603</v>
      </c>
      <c r="O7">
        <v>90.892745344348896</v>
      </c>
      <c r="P7">
        <v>68.643302659638593</v>
      </c>
      <c r="Q7">
        <v>79.390262076098196</v>
      </c>
    </row>
    <row r="8" spans="1:17">
      <c r="A8">
        <v>7</v>
      </c>
      <c r="B8">
        <v>28</v>
      </c>
      <c r="C8">
        <v>184</v>
      </c>
      <c r="D8">
        <v>94</v>
      </c>
      <c r="E8" t="s">
        <v>36</v>
      </c>
      <c r="F8" t="s">
        <v>31</v>
      </c>
      <c r="G8" t="s">
        <v>32</v>
      </c>
      <c r="H8" t="s">
        <v>27</v>
      </c>
      <c r="I8">
        <v>2</v>
      </c>
      <c r="J8">
        <v>0</v>
      </c>
      <c r="K8" s="11">
        <v>42079</v>
      </c>
      <c r="L8">
        <v>0.51318348724862595</v>
      </c>
      <c r="M8">
        <v>94.461068037226894</v>
      </c>
      <c r="N8">
        <v>95.0670400973478</v>
      </c>
      <c r="O8">
        <v>66.318663998825002</v>
      </c>
      <c r="P8">
        <v>60.528857039472101</v>
      </c>
      <c r="Q8">
        <v>94.767382219096604</v>
      </c>
    </row>
    <row r="9" spans="1:17">
      <c r="A9">
        <v>8</v>
      </c>
      <c r="B9">
        <v>21</v>
      </c>
      <c r="C9">
        <v>195</v>
      </c>
      <c r="D9">
        <v>92</v>
      </c>
      <c r="E9" t="s">
        <v>28</v>
      </c>
      <c r="F9" t="s">
        <v>29</v>
      </c>
      <c r="G9" t="s">
        <v>30</v>
      </c>
      <c r="H9" t="s">
        <v>27</v>
      </c>
      <c r="I9">
        <v>9</v>
      </c>
      <c r="J9">
        <v>0</v>
      </c>
      <c r="K9" s="11">
        <v>41785</v>
      </c>
      <c r="L9">
        <v>0.68823168343902397</v>
      </c>
      <c r="M9">
        <v>34.275457189840402</v>
      </c>
      <c r="N9">
        <v>88.143358545140998</v>
      </c>
      <c r="O9">
        <v>71.389280502144999</v>
      </c>
      <c r="P9">
        <v>50.612603167934203</v>
      </c>
      <c r="Q9">
        <v>42.6402741589133</v>
      </c>
    </row>
    <row r="10" spans="1:17">
      <c r="A10">
        <v>9</v>
      </c>
      <c r="B10">
        <v>25</v>
      </c>
      <c r="C10">
        <v>182</v>
      </c>
      <c r="D10">
        <v>100</v>
      </c>
      <c r="E10" t="s">
        <v>24</v>
      </c>
      <c r="F10" t="s">
        <v>29</v>
      </c>
      <c r="G10" t="s">
        <v>32</v>
      </c>
      <c r="H10" t="s">
        <v>37</v>
      </c>
      <c r="I10">
        <v>2</v>
      </c>
      <c r="J10">
        <v>1</v>
      </c>
      <c r="K10" s="11">
        <v>42893</v>
      </c>
      <c r="L10">
        <v>0.905276665390916</v>
      </c>
      <c r="M10">
        <v>49.381435370304203</v>
      </c>
      <c r="N10">
        <v>97.551883746655804</v>
      </c>
      <c r="O10">
        <v>57.930189270909104</v>
      </c>
      <c r="P10">
        <v>96.391731487350896</v>
      </c>
      <c r="Q10">
        <v>69.756166138683994</v>
      </c>
    </row>
    <row r="11" spans="1:17">
      <c r="A11">
        <v>10</v>
      </c>
      <c r="B11">
        <v>20</v>
      </c>
      <c r="C11">
        <v>201</v>
      </c>
      <c r="D11">
        <v>99</v>
      </c>
      <c r="E11" t="s">
        <v>24</v>
      </c>
      <c r="F11" t="s">
        <v>34</v>
      </c>
      <c r="G11" t="s">
        <v>30</v>
      </c>
      <c r="H11" t="s">
        <v>35</v>
      </c>
      <c r="I11">
        <v>10</v>
      </c>
      <c r="J11">
        <v>0</v>
      </c>
      <c r="K11" s="11">
        <v>42724</v>
      </c>
      <c r="L11">
        <v>0.99363806465747195</v>
      </c>
      <c r="M11">
        <v>86.4340895855143</v>
      </c>
      <c r="N11">
        <v>38.700805643988097</v>
      </c>
      <c r="O11">
        <v>33.833314717542102</v>
      </c>
      <c r="P11">
        <v>83.452405591183194</v>
      </c>
      <c r="Q11">
        <v>94.084180831162897</v>
      </c>
    </row>
    <row r="12" spans="1:17">
      <c r="A12">
        <v>11</v>
      </c>
      <c r="B12">
        <v>19</v>
      </c>
      <c r="C12">
        <v>208</v>
      </c>
      <c r="D12">
        <v>104</v>
      </c>
      <c r="E12" t="s">
        <v>28</v>
      </c>
      <c r="F12" t="s">
        <v>38</v>
      </c>
      <c r="G12" t="s">
        <v>32</v>
      </c>
      <c r="H12" t="s">
        <v>27</v>
      </c>
      <c r="I12">
        <v>7</v>
      </c>
      <c r="J12">
        <v>0</v>
      </c>
      <c r="K12" s="11">
        <v>43396</v>
      </c>
      <c r="L12">
        <v>0.57520844555176398</v>
      </c>
      <c r="M12">
        <v>82.378178326856002</v>
      </c>
      <c r="N12">
        <v>81.160723264255097</v>
      </c>
      <c r="O12">
        <v>53.463806915212999</v>
      </c>
      <c r="P12">
        <v>39.807922303651601</v>
      </c>
      <c r="Q12">
        <v>32.376218501005901</v>
      </c>
    </row>
    <row r="13" spans="1:17">
      <c r="A13">
        <v>12</v>
      </c>
      <c r="B13">
        <v>29</v>
      </c>
      <c r="C13">
        <v>201</v>
      </c>
      <c r="D13">
        <v>76</v>
      </c>
      <c r="E13" t="s">
        <v>36</v>
      </c>
      <c r="F13" t="s">
        <v>34</v>
      </c>
      <c r="G13" t="s">
        <v>30</v>
      </c>
      <c r="H13" t="s">
        <v>35</v>
      </c>
      <c r="I13">
        <v>8</v>
      </c>
      <c r="J13">
        <v>0</v>
      </c>
      <c r="K13" s="11">
        <v>43379</v>
      </c>
      <c r="L13">
        <v>0.79706535767606701</v>
      </c>
      <c r="M13">
        <v>42.916471354946403</v>
      </c>
      <c r="N13">
        <v>95.683831977472593</v>
      </c>
      <c r="O13">
        <v>86.199741401860706</v>
      </c>
      <c r="P13">
        <v>90.792758312853806</v>
      </c>
      <c r="Q13">
        <v>78.8194187072788</v>
      </c>
    </row>
    <row r="14" spans="1:17">
      <c r="A14">
        <v>13</v>
      </c>
      <c r="B14">
        <v>23</v>
      </c>
      <c r="C14">
        <v>173</v>
      </c>
      <c r="D14">
        <v>85</v>
      </c>
      <c r="E14" t="s">
        <v>36</v>
      </c>
      <c r="F14" t="s">
        <v>38</v>
      </c>
      <c r="G14" t="s">
        <v>32</v>
      </c>
      <c r="H14" t="s">
        <v>37</v>
      </c>
      <c r="I14">
        <v>11</v>
      </c>
      <c r="J14">
        <v>0</v>
      </c>
      <c r="K14" s="11">
        <v>44061</v>
      </c>
      <c r="L14">
        <v>0.69044542831551003</v>
      </c>
      <c r="M14">
        <v>44.654452633569697</v>
      </c>
      <c r="N14">
        <v>42.686314631596197</v>
      </c>
      <c r="O14">
        <v>30.324241610322201</v>
      </c>
      <c r="P14">
        <v>64.120183877465905</v>
      </c>
      <c r="Q14">
        <v>50.814430516078502</v>
      </c>
    </row>
    <row r="15" spans="1:17">
      <c r="A15">
        <v>14</v>
      </c>
      <c r="B15">
        <v>19</v>
      </c>
      <c r="C15">
        <v>199</v>
      </c>
      <c r="D15">
        <v>95</v>
      </c>
      <c r="E15" t="s">
        <v>28</v>
      </c>
      <c r="F15" t="s">
        <v>25</v>
      </c>
      <c r="G15" t="s">
        <v>32</v>
      </c>
      <c r="H15" t="s">
        <v>35</v>
      </c>
      <c r="I15">
        <v>8</v>
      </c>
      <c r="J15">
        <v>1</v>
      </c>
      <c r="K15" s="11">
        <v>44492</v>
      </c>
      <c r="L15">
        <v>0.98495719890730105</v>
      </c>
      <c r="M15">
        <v>55.933047195396703</v>
      </c>
      <c r="N15">
        <v>34.654738715674398</v>
      </c>
      <c r="O15">
        <v>53.344942018380003</v>
      </c>
      <c r="P15">
        <v>92.618655882586395</v>
      </c>
      <c r="Q15">
        <v>94.707733676357094</v>
      </c>
    </row>
    <row r="16" spans="1:17">
      <c r="A16">
        <v>15</v>
      </c>
      <c r="B16">
        <v>18</v>
      </c>
      <c r="C16">
        <v>206</v>
      </c>
      <c r="D16">
        <v>71</v>
      </c>
      <c r="E16" t="s">
        <v>36</v>
      </c>
      <c r="F16" t="s">
        <v>29</v>
      </c>
      <c r="G16" t="s">
        <v>26</v>
      </c>
      <c r="H16" t="s">
        <v>35</v>
      </c>
      <c r="I16">
        <v>11</v>
      </c>
      <c r="J16">
        <v>1</v>
      </c>
      <c r="K16" s="11">
        <v>42774</v>
      </c>
      <c r="L16">
        <v>0.92105946156785401</v>
      </c>
      <c r="M16">
        <v>63.916608963371402</v>
      </c>
      <c r="N16">
        <v>81.878445450304099</v>
      </c>
      <c r="O16">
        <v>57.871808551366001</v>
      </c>
      <c r="P16">
        <v>85.989867916311994</v>
      </c>
      <c r="Q16">
        <v>97.974077161575707</v>
      </c>
    </row>
    <row r="17" spans="1:17">
      <c r="A17">
        <v>16</v>
      </c>
      <c r="B17">
        <v>29</v>
      </c>
      <c r="C17">
        <v>192</v>
      </c>
      <c r="D17">
        <v>70</v>
      </c>
      <c r="E17" t="s">
        <v>24</v>
      </c>
      <c r="F17" t="s">
        <v>31</v>
      </c>
      <c r="G17" t="s">
        <v>32</v>
      </c>
      <c r="H17" t="s">
        <v>35</v>
      </c>
      <c r="I17">
        <v>4</v>
      </c>
      <c r="J17">
        <v>1</v>
      </c>
      <c r="K17" s="11">
        <v>43783</v>
      </c>
      <c r="L17">
        <v>0.91916435235556804</v>
      </c>
      <c r="M17">
        <v>73.277834007120703</v>
      </c>
      <c r="N17">
        <v>70.213117922593796</v>
      </c>
      <c r="O17">
        <v>67.617692205654606</v>
      </c>
      <c r="P17">
        <v>59.764945312846301</v>
      </c>
      <c r="Q17">
        <v>96.098654237940295</v>
      </c>
    </row>
    <row r="18" spans="1:17">
      <c r="A18">
        <v>17</v>
      </c>
      <c r="B18">
        <v>29</v>
      </c>
      <c r="C18">
        <v>208</v>
      </c>
      <c r="D18">
        <v>81</v>
      </c>
      <c r="E18" t="s">
        <v>24</v>
      </c>
      <c r="F18" t="s">
        <v>29</v>
      </c>
      <c r="G18" t="s">
        <v>32</v>
      </c>
      <c r="H18" t="s">
        <v>33</v>
      </c>
      <c r="I18">
        <v>3</v>
      </c>
      <c r="J18">
        <v>0</v>
      </c>
      <c r="K18" s="11">
        <v>41659</v>
      </c>
      <c r="L18">
        <v>0.73434657989748497</v>
      </c>
      <c r="M18">
        <v>55.823954769883997</v>
      </c>
      <c r="N18">
        <v>88.928014373078994</v>
      </c>
      <c r="O18">
        <v>94.389893148893194</v>
      </c>
      <c r="P18">
        <v>31.572851582408202</v>
      </c>
      <c r="Q18">
        <v>63.194995166022402</v>
      </c>
    </row>
    <row r="19" spans="1:17">
      <c r="A19">
        <v>18</v>
      </c>
      <c r="B19">
        <v>34</v>
      </c>
      <c r="C19">
        <v>184</v>
      </c>
      <c r="D19">
        <v>74</v>
      </c>
      <c r="E19" t="s">
        <v>36</v>
      </c>
      <c r="F19" t="s">
        <v>25</v>
      </c>
      <c r="G19" t="s">
        <v>32</v>
      </c>
      <c r="H19" t="s">
        <v>33</v>
      </c>
      <c r="I19">
        <v>10</v>
      </c>
      <c r="J19">
        <v>1</v>
      </c>
      <c r="K19" s="11">
        <v>42282</v>
      </c>
      <c r="L19">
        <v>0.70740975116883198</v>
      </c>
      <c r="M19">
        <v>62.377430129320302</v>
      </c>
      <c r="N19">
        <v>39.784066363840203</v>
      </c>
      <c r="O19">
        <v>54.244219605617197</v>
      </c>
      <c r="P19">
        <v>48.807415156946199</v>
      </c>
      <c r="Q19">
        <v>90.342985569251894</v>
      </c>
    </row>
    <row r="20" spans="1:17">
      <c r="A20">
        <v>19</v>
      </c>
      <c r="B20">
        <v>27</v>
      </c>
      <c r="C20">
        <v>198</v>
      </c>
      <c r="D20">
        <v>106</v>
      </c>
      <c r="E20" t="s">
        <v>36</v>
      </c>
      <c r="F20" t="s">
        <v>34</v>
      </c>
      <c r="G20" t="s">
        <v>30</v>
      </c>
      <c r="H20" t="s">
        <v>35</v>
      </c>
      <c r="I20">
        <v>9</v>
      </c>
      <c r="J20">
        <v>0</v>
      </c>
      <c r="K20" s="11">
        <v>43450</v>
      </c>
      <c r="L20">
        <v>0.63670353596535301</v>
      </c>
      <c r="M20">
        <v>82.322965669362901</v>
      </c>
      <c r="N20">
        <v>85.668711830192294</v>
      </c>
      <c r="O20">
        <v>54.286724132735898</v>
      </c>
      <c r="P20">
        <v>67.914395026260607</v>
      </c>
      <c r="Q20">
        <v>89.118457897454903</v>
      </c>
    </row>
    <row r="21" spans="1:17">
      <c r="A21">
        <v>20</v>
      </c>
      <c r="B21">
        <v>33</v>
      </c>
      <c r="C21">
        <v>205</v>
      </c>
      <c r="D21">
        <v>101</v>
      </c>
      <c r="E21" t="s">
        <v>28</v>
      </c>
      <c r="F21" t="s">
        <v>29</v>
      </c>
      <c r="G21" t="s">
        <v>32</v>
      </c>
      <c r="H21" t="s">
        <v>37</v>
      </c>
      <c r="I21">
        <v>11</v>
      </c>
      <c r="J21">
        <v>0</v>
      </c>
      <c r="K21" s="11">
        <v>41607</v>
      </c>
      <c r="L21">
        <v>0.528187748325463</v>
      </c>
      <c r="M21">
        <v>32.567824202341797</v>
      </c>
      <c r="N21">
        <v>44.113912403342098</v>
      </c>
      <c r="O21">
        <v>81.625087367682298</v>
      </c>
      <c r="P21">
        <v>74.343475387830296</v>
      </c>
      <c r="Q21">
        <v>52.337033127027802</v>
      </c>
    </row>
    <row r="22" spans="1:17">
      <c r="A22">
        <v>21</v>
      </c>
      <c r="B22">
        <v>32</v>
      </c>
      <c r="C22">
        <v>182</v>
      </c>
      <c r="D22">
        <v>78</v>
      </c>
      <c r="E22" t="s">
        <v>36</v>
      </c>
      <c r="F22" t="s">
        <v>25</v>
      </c>
      <c r="G22" t="s">
        <v>26</v>
      </c>
      <c r="H22" t="s">
        <v>37</v>
      </c>
      <c r="I22">
        <v>8</v>
      </c>
      <c r="J22">
        <v>0</v>
      </c>
      <c r="K22" s="11">
        <v>41741</v>
      </c>
      <c r="L22">
        <v>0.932361188127526</v>
      </c>
      <c r="M22">
        <v>47.670586104081401</v>
      </c>
      <c r="N22">
        <v>41.455916000599302</v>
      </c>
      <c r="O22">
        <v>61.655255862286502</v>
      </c>
      <c r="P22">
        <v>48.052137980324098</v>
      </c>
      <c r="Q22">
        <v>88.024083190547401</v>
      </c>
    </row>
    <row r="23" spans="1:17">
      <c r="A23">
        <v>22</v>
      </c>
      <c r="B23">
        <v>32</v>
      </c>
      <c r="C23">
        <v>201</v>
      </c>
      <c r="D23">
        <v>104</v>
      </c>
      <c r="E23" t="s">
        <v>36</v>
      </c>
      <c r="F23" t="s">
        <v>34</v>
      </c>
      <c r="G23" t="s">
        <v>32</v>
      </c>
      <c r="H23" t="s">
        <v>33</v>
      </c>
      <c r="I23">
        <v>10</v>
      </c>
      <c r="J23">
        <v>1</v>
      </c>
      <c r="K23" s="11">
        <v>42221</v>
      </c>
      <c r="L23">
        <v>0.90645050456503795</v>
      </c>
      <c r="M23">
        <v>79.934471011918603</v>
      </c>
      <c r="N23">
        <v>41.498605855169501</v>
      </c>
      <c r="O23">
        <v>45.7223376057987</v>
      </c>
      <c r="P23">
        <v>39.754925185097598</v>
      </c>
      <c r="Q23">
        <v>32.590534430084404</v>
      </c>
    </row>
    <row r="24" spans="1:17">
      <c r="A24">
        <v>23</v>
      </c>
      <c r="B24">
        <v>29</v>
      </c>
      <c r="C24">
        <v>176</v>
      </c>
      <c r="D24">
        <v>88</v>
      </c>
      <c r="E24" t="s">
        <v>36</v>
      </c>
      <c r="F24" t="s">
        <v>31</v>
      </c>
      <c r="G24" t="s">
        <v>30</v>
      </c>
      <c r="H24" t="s">
        <v>33</v>
      </c>
      <c r="I24">
        <v>5</v>
      </c>
      <c r="J24">
        <v>1</v>
      </c>
      <c r="K24" s="11">
        <v>42322</v>
      </c>
      <c r="L24">
        <v>0.99985883664306496</v>
      </c>
      <c r="M24">
        <v>92.664478638103901</v>
      </c>
      <c r="N24">
        <v>87.020230416196696</v>
      </c>
      <c r="O24">
        <v>61.670766129288502</v>
      </c>
      <c r="P24">
        <v>88.445116575950905</v>
      </c>
      <c r="Q24">
        <v>71.738891493743694</v>
      </c>
    </row>
    <row r="25" spans="1:17">
      <c r="A25">
        <v>24</v>
      </c>
      <c r="B25">
        <v>20</v>
      </c>
      <c r="C25">
        <v>191</v>
      </c>
      <c r="D25">
        <v>85</v>
      </c>
      <c r="E25" t="s">
        <v>36</v>
      </c>
      <c r="F25" t="s">
        <v>29</v>
      </c>
      <c r="G25" t="s">
        <v>26</v>
      </c>
      <c r="H25" t="s">
        <v>37</v>
      </c>
      <c r="I25">
        <v>5</v>
      </c>
      <c r="J25">
        <v>0</v>
      </c>
      <c r="K25" s="11">
        <v>42812</v>
      </c>
      <c r="L25">
        <v>0.99831841853695202</v>
      </c>
      <c r="M25">
        <v>65.817420948096597</v>
      </c>
      <c r="N25">
        <v>76.563805448734001</v>
      </c>
      <c r="O25">
        <v>39.8599914265859</v>
      </c>
      <c r="P25">
        <v>98.908152649248606</v>
      </c>
      <c r="Q25">
        <v>46.1006186101392</v>
      </c>
    </row>
    <row r="26" spans="1:17">
      <c r="A26">
        <v>25</v>
      </c>
      <c r="B26">
        <v>22</v>
      </c>
      <c r="C26">
        <v>197</v>
      </c>
      <c r="D26">
        <v>72</v>
      </c>
      <c r="E26" t="s">
        <v>24</v>
      </c>
      <c r="F26" t="s">
        <v>34</v>
      </c>
      <c r="G26" t="s">
        <v>30</v>
      </c>
      <c r="H26" t="s">
        <v>35</v>
      </c>
      <c r="I26">
        <v>2</v>
      </c>
      <c r="J26">
        <v>1</v>
      </c>
      <c r="K26" s="11">
        <v>42650</v>
      </c>
      <c r="L26">
        <v>0.77771585280131295</v>
      </c>
      <c r="M26">
        <v>67.247943968572002</v>
      </c>
      <c r="N26">
        <v>66.614579733838298</v>
      </c>
      <c r="O26">
        <v>42.347089055435603</v>
      </c>
      <c r="P26">
        <v>66.798312761188001</v>
      </c>
      <c r="Q26">
        <v>38.439682004409498</v>
      </c>
    </row>
    <row r="27" spans="1:17">
      <c r="A27">
        <v>26</v>
      </c>
      <c r="B27">
        <v>24</v>
      </c>
      <c r="C27">
        <v>171</v>
      </c>
      <c r="D27">
        <v>89</v>
      </c>
      <c r="E27" t="s">
        <v>28</v>
      </c>
      <c r="F27" t="s">
        <v>29</v>
      </c>
      <c r="G27" t="s">
        <v>32</v>
      </c>
      <c r="H27" t="s">
        <v>37</v>
      </c>
      <c r="I27">
        <v>9</v>
      </c>
      <c r="J27">
        <v>0</v>
      </c>
      <c r="K27" s="11">
        <v>43252</v>
      </c>
      <c r="L27">
        <v>0.88449370759025503</v>
      </c>
      <c r="M27">
        <v>37.502040793784303</v>
      </c>
      <c r="N27">
        <v>55.118133888645097</v>
      </c>
      <c r="O27">
        <v>64.885744091763499</v>
      </c>
      <c r="P27">
        <v>42.017550009381203</v>
      </c>
      <c r="Q27">
        <v>35.386724114044597</v>
      </c>
    </row>
    <row r="28" spans="1:17">
      <c r="A28">
        <v>27</v>
      </c>
      <c r="B28">
        <v>26</v>
      </c>
      <c r="C28">
        <v>175</v>
      </c>
      <c r="D28">
        <v>93</v>
      </c>
      <c r="E28" t="s">
        <v>28</v>
      </c>
      <c r="F28" t="s">
        <v>31</v>
      </c>
      <c r="G28" t="s">
        <v>30</v>
      </c>
      <c r="H28" t="s">
        <v>27</v>
      </c>
      <c r="I28">
        <v>4</v>
      </c>
      <c r="J28">
        <v>0</v>
      </c>
      <c r="K28" s="11">
        <v>44092</v>
      </c>
      <c r="L28">
        <v>0.97238286494121395</v>
      </c>
      <c r="M28">
        <v>61.318865677641803</v>
      </c>
      <c r="N28">
        <v>91.404037856917498</v>
      </c>
      <c r="O28">
        <v>59.324781465318303</v>
      </c>
      <c r="P28">
        <v>49.061512856355797</v>
      </c>
      <c r="Q28">
        <v>78.7402143114697</v>
      </c>
    </row>
    <row r="29" spans="1:17">
      <c r="A29">
        <v>28</v>
      </c>
      <c r="B29">
        <v>24</v>
      </c>
      <c r="C29">
        <v>197</v>
      </c>
      <c r="D29">
        <v>102</v>
      </c>
      <c r="E29" t="s">
        <v>28</v>
      </c>
      <c r="F29" t="s">
        <v>25</v>
      </c>
      <c r="G29" t="s">
        <v>26</v>
      </c>
      <c r="H29" t="s">
        <v>33</v>
      </c>
      <c r="I29">
        <v>8</v>
      </c>
      <c r="J29">
        <v>0</v>
      </c>
      <c r="K29" s="11">
        <v>42024</v>
      </c>
      <c r="L29">
        <v>0.92482369533870501</v>
      </c>
      <c r="M29">
        <v>67.283208651851595</v>
      </c>
      <c r="N29">
        <v>57.471157519584402</v>
      </c>
      <c r="O29">
        <v>94.039213074767005</v>
      </c>
      <c r="P29">
        <v>31.287347358322599</v>
      </c>
      <c r="Q29">
        <v>53.791247463764599</v>
      </c>
    </row>
    <row r="30" spans="1:17">
      <c r="A30">
        <v>29</v>
      </c>
      <c r="B30">
        <v>21</v>
      </c>
      <c r="C30">
        <v>197</v>
      </c>
      <c r="D30">
        <v>93</v>
      </c>
      <c r="E30" t="s">
        <v>36</v>
      </c>
      <c r="F30" t="s">
        <v>38</v>
      </c>
      <c r="G30" t="s">
        <v>32</v>
      </c>
      <c r="H30" t="s">
        <v>35</v>
      </c>
      <c r="I30">
        <v>3</v>
      </c>
      <c r="J30">
        <v>0</v>
      </c>
      <c r="K30" s="11">
        <v>42397</v>
      </c>
      <c r="L30">
        <v>0.623674050871598</v>
      </c>
      <c r="M30">
        <v>46.972935254431</v>
      </c>
      <c r="N30">
        <v>87.161960763010399</v>
      </c>
      <c r="O30">
        <v>55.367572938164301</v>
      </c>
      <c r="P30">
        <v>94.000916459234901</v>
      </c>
      <c r="Q30">
        <v>80.733674007013207</v>
      </c>
    </row>
    <row r="31" spans="1:17">
      <c r="A31">
        <v>30</v>
      </c>
      <c r="B31">
        <v>31</v>
      </c>
      <c r="C31">
        <v>189</v>
      </c>
      <c r="D31">
        <v>80</v>
      </c>
      <c r="E31" t="s">
        <v>28</v>
      </c>
      <c r="F31" t="s">
        <v>29</v>
      </c>
      <c r="G31" t="s">
        <v>26</v>
      </c>
      <c r="H31" t="s">
        <v>35</v>
      </c>
      <c r="I31">
        <v>3</v>
      </c>
      <c r="J31">
        <v>0</v>
      </c>
      <c r="K31" s="11">
        <v>42463</v>
      </c>
      <c r="L31">
        <v>0.72527206765504604</v>
      </c>
      <c r="M31">
        <v>48.847026166456601</v>
      </c>
      <c r="N31">
        <v>60.739443599915198</v>
      </c>
      <c r="O31">
        <v>70.641184519462996</v>
      </c>
      <c r="P31">
        <v>38.242575802309801</v>
      </c>
      <c r="Q31">
        <v>34.574943855925902</v>
      </c>
    </row>
    <row r="32" spans="1:17">
      <c r="A32">
        <v>31</v>
      </c>
      <c r="B32">
        <v>26</v>
      </c>
      <c r="C32">
        <v>199</v>
      </c>
      <c r="D32">
        <v>77</v>
      </c>
      <c r="E32" t="s">
        <v>24</v>
      </c>
      <c r="F32" t="s">
        <v>34</v>
      </c>
      <c r="G32" t="s">
        <v>30</v>
      </c>
      <c r="H32" t="s">
        <v>35</v>
      </c>
      <c r="I32">
        <v>8</v>
      </c>
      <c r="J32">
        <v>0</v>
      </c>
      <c r="K32" s="11">
        <v>42953</v>
      </c>
      <c r="L32">
        <v>0.56457970757574705</v>
      </c>
      <c r="M32">
        <v>56.4098914173235</v>
      </c>
      <c r="N32">
        <v>56.386110059743501</v>
      </c>
      <c r="O32">
        <v>74.258500154367098</v>
      </c>
      <c r="P32">
        <v>70.356153285997706</v>
      </c>
      <c r="Q32">
        <v>52.070323648142697</v>
      </c>
    </row>
    <row r="33" spans="1:17">
      <c r="A33">
        <v>32</v>
      </c>
      <c r="B33">
        <v>19</v>
      </c>
      <c r="C33">
        <v>180</v>
      </c>
      <c r="D33">
        <v>105</v>
      </c>
      <c r="E33" t="s">
        <v>36</v>
      </c>
      <c r="F33" t="s">
        <v>29</v>
      </c>
      <c r="G33" t="s">
        <v>26</v>
      </c>
      <c r="H33" t="s">
        <v>35</v>
      </c>
      <c r="I33">
        <v>7</v>
      </c>
      <c r="J33">
        <v>0</v>
      </c>
      <c r="K33" s="11">
        <v>43527</v>
      </c>
      <c r="L33">
        <v>0.97702551362936096</v>
      </c>
      <c r="M33">
        <v>31.4049838444408</v>
      </c>
      <c r="N33">
        <v>62.387584996872398</v>
      </c>
      <c r="O33">
        <v>30.9166119611833</v>
      </c>
      <c r="P33">
        <v>49.183865448104399</v>
      </c>
      <c r="Q33">
        <v>67.764390466273596</v>
      </c>
    </row>
    <row r="34" spans="1:17">
      <c r="A34">
        <v>33</v>
      </c>
      <c r="B34">
        <v>32</v>
      </c>
      <c r="C34">
        <v>197</v>
      </c>
      <c r="D34">
        <v>107</v>
      </c>
      <c r="E34" t="s">
        <v>36</v>
      </c>
      <c r="F34" t="s">
        <v>29</v>
      </c>
      <c r="G34" t="s">
        <v>26</v>
      </c>
      <c r="H34" t="s">
        <v>27</v>
      </c>
      <c r="I34">
        <v>4</v>
      </c>
      <c r="J34">
        <v>0</v>
      </c>
      <c r="K34" s="11">
        <v>44003</v>
      </c>
      <c r="L34">
        <v>0.80308731722544002</v>
      </c>
      <c r="M34">
        <v>52.545541590822403</v>
      </c>
      <c r="N34">
        <v>51.096451191489898</v>
      </c>
      <c r="O34">
        <v>76.447616041169695</v>
      </c>
      <c r="P34">
        <v>68.792460176105493</v>
      </c>
      <c r="Q34">
        <v>85.350621538727395</v>
      </c>
    </row>
    <row r="35" spans="1:17">
      <c r="A35">
        <v>34</v>
      </c>
      <c r="B35">
        <v>24</v>
      </c>
      <c r="C35">
        <v>194</v>
      </c>
      <c r="D35">
        <v>109</v>
      </c>
      <c r="E35" t="s">
        <v>28</v>
      </c>
      <c r="F35" t="s">
        <v>25</v>
      </c>
      <c r="G35" t="s">
        <v>30</v>
      </c>
      <c r="H35" t="s">
        <v>37</v>
      </c>
      <c r="I35">
        <v>10</v>
      </c>
      <c r="J35">
        <v>0</v>
      </c>
      <c r="K35" s="11">
        <v>43565</v>
      </c>
      <c r="L35">
        <v>0.61432140275173097</v>
      </c>
      <c r="M35">
        <v>44.801360489758103</v>
      </c>
      <c r="N35">
        <v>82.332656612337502</v>
      </c>
      <c r="O35">
        <v>42.462517680882598</v>
      </c>
      <c r="P35">
        <v>75.5994271846304</v>
      </c>
      <c r="Q35">
        <v>52.312675205244801</v>
      </c>
    </row>
    <row r="36" spans="1:17">
      <c r="A36">
        <v>35</v>
      </c>
      <c r="B36">
        <v>29</v>
      </c>
      <c r="C36">
        <v>208</v>
      </c>
      <c r="D36">
        <v>89</v>
      </c>
      <c r="E36" t="s">
        <v>24</v>
      </c>
      <c r="F36" t="s">
        <v>38</v>
      </c>
      <c r="G36" t="s">
        <v>26</v>
      </c>
      <c r="H36" t="s">
        <v>27</v>
      </c>
      <c r="I36">
        <v>11</v>
      </c>
      <c r="J36">
        <v>0</v>
      </c>
      <c r="K36" s="11">
        <v>43964</v>
      </c>
      <c r="L36">
        <v>0.83585034220292798</v>
      </c>
      <c r="M36">
        <v>52.924814652454003</v>
      </c>
      <c r="N36">
        <v>65.190427306473495</v>
      </c>
      <c r="O36">
        <v>97.274922222861804</v>
      </c>
      <c r="P36">
        <v>88.081926259504101</v>
      </c>
      <c r="Q36">
        <v>73.812396350590603</v>
      </c>
    </row>
    <row r="37" spans="1:17">
      <c r="A37">
        <v>36</v>
      </c>
      <c r="B37">
        <v>25</v>
      </c>
      <c r="C37">
        <v>202</v>
      </c>
      <c r="D37">
        <v>104</v>
      </c>
      <c r="E37" t="s">
        <v>36</v>
      </c>
      <c r="F37" t="s">
        <v>29</v>
      </c>
      <c r="G37" t="s">
        <v>32</v>
      </c>
      <c r="H37" t="s">
        <v>33</v>
      </c>
      <c r="I37">
        <v>7</v>
      </c>
      <c r="J37">
        <v>0</v>
      </c>
      <c r="K37" s="11">
        <v>41758</v>
      </c>
      <c r="L37">
        <v>0.80906412022894703</v>
      </c>
      <c r="M37">
        <v>38.383349227347502</v>
      </c>
      <c r="N37">
        <v>46.254888660277203</v>
      </c>
      <c r="O37">
        <v>40.406390942717898</v>
      </c>
      <c r="P37">
        <v>44.449489023242201</v>
      </c>
      <c r="Q37">
        <v>92.018442376533102</v>
      </c>
    </row>
    <row r="38" spans="1:17">
      <c r="A38">
        <v>37</v>
      </c>
      <c r="B38">
        <v>32</v>
      </c>
      <c r="C38">
        <v>170</v>
      </c>
      <c r="D38">
        <v>94</v>
      </c>
      <c r="E38" t="s">
        <v>28</v>
      </c>
      <c r="F38" t="s">
        <v>34</v>
      </c>
      <c r="G38" t="s">
        <v>32</v>
      </c>
      <c r="H38" t="s">
        <v>35</v>
      </c>
      <c r="I38">
        <v>11</v>
      </c>
      <c r="J38">
        <v>0</v>
      </c>
      <c r="K38" s="11">
        <v>42073</v>
      </c>
      <c r="L38">
        <v>0.67908135901641997</v>
      </c>
      <c r="M38">
        <v>92.336909651792595</v>
      </c>
      <c r="N38">
        <v>92.970220129219797</v>
      </c>
      <c r="O38">
        <v>59.023688660891601</v>
      </c>
      <c r="P38">
        <v>30.769708006093602</v>
      </c>
      <c r="Q38">
        <v>73.110423172761301</v>
      </c>
    </row>
    <row r="39" spans="1:17">
      <c r="A39">
        <v>38</v>
      </c>
      <c r="B39">
        <v>20</v>
      </c>
      <c r="C39">
        <v>196</v>
      </c>
      <c r="D39">
        <v>104</v>
      </c>
      <c r="E39" t="s">
        <v>36</v>
      </c>
      <c r="F39" t="s">
        <v>38</v>
      </c>
      <c r="G39" t="s">
        <v>26</v>
      </c>
      <c r="H39" t="s">
        <v>33</v>
      </c>
      <c r="I39">
        <v>11</v>
      </c>
      <c r="J39">
        <v>0</v>
      </c>
      <c r="K39" s="11">
        <v>42783</v>
      </c>
      <c r="L39">
        <v>0.55677879609981396</v>
      </c>
      <c r="M39">
        <v>71.551471748783399</v>
      </c>
      <c r="N39">
        <v>56.872385496124799</v>
      </c>
      <c r="O39">
        <v>35.974476765505003</v>
      </c>
      <c r="P39">
        <v>39.581994104816502</v>
      </c>
      <c r="Q39">
        <v>46.307163232754299</v>
      </c>
    </row>
    <row r="40" spans="1:17">
      <c r="A40">
        <v>39</v>
      </c>
      <c r="B40">
        <v>31</v>
      </c>
      <c r="C40">
        <v>182</v>
      </c>
      <c r="D40">
        <v>94</v>
      </c>
      <c r="E40" t="s">
        <v>24</v>
      </c>
      <c r="F40" t="s">
        <v>38</v>
      </c>
      <c r="G40" t="s">
        <v>26</v>
      </c>
      <c r="H40" t="s">
        <v>35</v>
      </c>
      <c r="I40">
        <v>7</v>
      </c>
      <c r="J40">
        <v>0</v>
      </c>
      <c r="K40" s="11">
        <v>43100</v>
      </c>
      <c r="L40">
        <v>0.83578659779639897</v>
      </c>
      <c r="M40">
        <v>77.537162340114193</v>
      </c>
      <c r="N40">
        <v>68.048700277979194</v>
      </c>
      <c r="O40">
        <v>99.781197629216294</v>
      </c>
      <c r="P40">
        <v>93.001304929367294</v>
      </c>
      <c r="Q40">
        <v>31.708054708957601</v>
      </c>
    </row>
    <row r="41" spans="1:17">
      <c r="A41">
        <v>40</v>
      </c>
      <c r="B41">
        <v>34</v>
      </c>
      <c r="C41">
        <v>172</v>
      </c>
      <c r="D41">
        <v>98</v>
      </c>
      <c r="E41" t="s">
        <v>28</v>
      </c>
      <c r="F41" t="s">
        <v>25</v>
      </c>
      <c r="G41" t="s">
        <v>26</v>
      </c>
      <c r="H41" t="s">
        <v>27</v>
      </c>
      <c r="I41">
        <v>2</v>
      </c>
      <c r="J41">
        <v>0</v>
      </c>
      <c r="K41" s="11">
        <v>42392</v>
      </c>
      <c r="L41">
        <v>0.76015385045189598</v>
      </c>
      <c r="M41">
        <v>85.2419867025136</v>
      </c>
      <c r="N41">
        <v>93.4530477675182</v>
      </c>
      <c r="O41">
        <v>65.1536507231869</v>
      </c>
      <c r="P41">
        <v>91.172305429375996</v>
      </c>
      <c r="Q41">
        <v>90.906921173065001</v>
      </c>
    </row>
    <row r="42" spans="1:17">
      <c r="A42">
        <v>41</v>
      </c>
      <c r="B42">
        <v>21</v>
      </c>
      <c r="C42">
        <v>208</v>
      </c>
      <c r="D42">
        <v>87</v>
      </c>
      <c r="E42" t="s">
        <v>36</v>
      </c>
      <c r="F42" t="s">
        <v>29</v>
      </c>
      <c r="G42" t="s">
        <v>26</v>
      </c>
      <c r="H42" t="s">
        <v>35</v>
      </c>
      <c r="I42">
        <v>5</v>
      </c>
      <c r="J42">
        <v>0</v>
      </c>
      <c r="K42" s="11">
        <v>42497</v>
      </c>
      <c r="L42">
        <v>0.88615919586781899</v>
      </c>
      <c r="M42">
        <v>64.890953925033998</v>
      </c>
      <c r="N42">
        <v>73.6966597139794</v>
      </c>
      <c r="O42">
        <v>71.676951212402997</v>
      </c>
      <c r="P42">
        <v>71.818917151921497</v>
      </c>
      <c r="Q42">
        <v>31.488858759527101</v>
      </c>
    </row>
    <row r="43" spans="1:17">
      <c r="A43">
        <v>42</v>
      </c>
      <c r="B43">
        <v>25</v>
      </c>
      <c r="C43">
        <v>175</v>
      </c>
      <c r="D43">
        <v>87</v>
      </c>
      <c r="E43" t="s">
        <v>28</v>
      </c>
      <c r="F43" t="s">
        <v>31</v>
      </c>
      <c r="G43" t="s">
        <v>32</v>
      </c>
      <c r="H43" t="s">
        <v>33</v>
      </c>
      <c r="I43">
        <v>11</v>
      </c>
      <c r="J43">
        <v>1</v>
      </c>
      <c r="K43" s="11">
        <v>42502</v>
      </c>
      <c r="L43">
        <v>0.76008175055599603</v>
      </c>
      <c r="M43">
        <v>36.0844201661196</v>
      </c>
      <c r="N43">
        <v>38.182862849585398</v>
      </c>
      <c r="O43">
        <v>34.695353417189899</v>
      </c>
      <c r="P43">
        <v>72.036180230355697</v>
      </c>
      <c r="Q43">
        <v>91.229117087893897</v>
      </c>
    </row>
    <row r="44" spans="1:17">
      <c r="A44">
        <v>43</v>
      </c>
      <c r="B44">
        <v>21</v>
      </c>
      <c r="C44">
        <v>177</v>
      </c>
      <c r="D44">
        <v>71</v>
      </c>
      <c r="E44" t="s">
        <v>24</v>
      </c>
      <c r="F44" t="s">
        <v>25</v>
      </c>
      <c r="G44" t="s">
        <v>26</v>
      </c>
      <c r="H44" t="s">
        <v>37</v>
      </c>
      <c r="I44">
        <v>7</v>
      </c>
      <c r="J44">
        <v>0</v>
      </c>
      <c r="K44" s="11">
        <v>42709</v>
      </c>
      <c r="L44">
        <v>0.92609075015927</v>
      </c>
      <c r="M44">
        <v>67.597457927298294</v>
      </c>
      <c r="N44">
        <v>95.788248652943196</v>
      </c>
      <c r="O44">
        <v>82.497232927942406</v>
      </c>
      <c r="P44">
        <v>76.552567218237797</v>
      </c>
      <c r="Q44">
        <v>67.025599381904797</v>
      </c>
    </row>
    <row r="45" spans="1:17">
      <c r="A45">
        <v>44</v>
      </c>
      <c r="B45">
        <v>19</v>
      </c>
      <c r="C45">
        <v>196</v>
      </c>
      <c r="D45">
        <v>104</v>
      </c>
      <c r="E45" t="s">
        <v>24</v>
      </c>
      <c r="F45" t="s">
        <v>34</v>
      </c>
      <c r="G45" t="s">
        <v>26</v>
      </c>
      <c r="H45" t="s">
        <v>33</v>
      </c>
      <c r="I45">
        <v>7</v>
      </c>
      <c r="J45">
        <v>0</v>
      </c>
      <c r="K45" s="11">
        <v>41702</v>
      </c>
      <c r="L45">
        <v>0.77595341938724205</v>
      </c>
      <c r="M45">
        <v>71.078878261461497</v>
      </c>
      <c r="N45">
        <v>73.939563714999196</v>
      </c>
      <c r="O45">
        <v>44.693391516691001</v>
      </c>
      <c r="P45">
        <v>42.275989503641398</v>
      </c>
      <c r="Q45">
        <v>95.734738895902694</v>
      </c>
    </row>
    <row r="46" spans="1:17">
      <c r="A46">
        <v>45</v>
      </c>
      <c r="B46">
        <v>23</v>
      </c>
      <c r="C46">
        <v>178</v>
      </c>
      <c r="D46">
        <v>85</v>
      </c>
      <c r="E46" t="s">
        <v>36</v>
      </c>
      <c r="F46" t="s">
        <v>38</v>
      </c>
      <c r="G46" t="s">
        <v>26</v>
      </c>
      <c r="H46" t="s">
        <v>35</v>
      </c>
      <c r="I46">
        <v>6</v>
      </c>
      <c r="J46">
        <v>1</v>
      </c>
      <c r="K46" s="11">
        <v>43674</v>
      </c>
      <c r="L46">
        <v>0.78046898576769297</v>
      </c>
      <c r="M46">
        <v>82.1807631929031</v>
      </c>
      <c r="N46">
        <v>53.443393025996002</v>
      </c>
      <c r="O46">
        <v>92.863800260849899</v>
      </c>
      <c r="P46">
        <v>94.008836214747106</v>
      </c>
      <c r="Q46">
        <v>85.914826504156494</v>
      </c>
    </row>
    <row r="47" spans="1:17">
      <c r="A47">
        <v>46</v>
      </c>
      <c r="B47">
        <v>27</v>
      </c>
      <c r="C47">
        <v>206</v>
      </c>
      <c r="D47">
        <v>105</v>
      </c>
      <c r="E47" t="s">
        <v>36</v>
      </c>
      <c r="F47" t="s">
        <v>29</v>
      </c>
      <c r="G47" t="s">
        <v>26</v>
      </c>
      <c r="H47" t="s">
        <v>35</v>
      </c>
      <c r="I47">
        <v>2</v>
      </c>
      <c r="J47">
        <v>0</v>
      </c>
      <c r="K47" s="11">
        <v>42253</v>
      </c>
      <c r="L47">
        <v>0.93832680132917201</v>
      </c>
      <c r="M47">
        <v>60.2161682360775</v>
      </c>
      <c r="N47">
        <v>39.7490450864371</v>
      </c>
      <c r="O47">
        <v>44.359774833740502</v>
      </c>
      <c r="P47">
        <v>59.313936742445101</v>
      </c>
      <c r="Q47">
        <v>99.855387737333601</v>
      </c>
    </row>
    <row r="48" spans="1:17">
      <c r="A48">
        <v>47</v>
      </c>
      <c r="B48">
        <v>21</v>
      </c>
      <c r="C48">
        <v>202</v>
      </c>
      <c r="D48">
        <v>102</v>
      </c>
      <c r="E48" t="s">
        <v>24</v>
      </c>
      <c r="F48" t="s">
        <v>31</v>
      </c>
      <c r="G48" t="s">
        <v>26</v>
      </c>
      <c r="H48" t="s">
        <v>27</v>
      </c>
      <c r="I48">
        <v>9</v>
      </c>
      <c r="J48">
        <v>0</v>
      </c>
      <c r="K48" s="11">
        <v>44288</v>
      </c>
      <c r="L48">
        <v>0.70174143310619796</v>
      </c>
      <c r="M48">
        <v>38.930621195689397</v>
      </c>
      <c r="N48">
        <v>85.581763248920694</v>
      </c>
      <c r="O48">
        <v>43.348140446456597</v>
      </c>
      <c r="P48">
        <v>56.819696977464801</v>
      </c>
      <c r="Q48">
        <v>54.549827081619704</v>
      </c>
    </row>
    <row r="49" spans="1:17">
      <c r="A49">
        <v>48</v>
      </c>
      <c r="B49">
        <v>29</v>
      </c>
      <c r="C49">
        <v>193</v>
      </c>
      <c r="D49">
        <v>73</v>
      </c>
      <c r="E49" t="s">
        <v>28</v>
      </c>
      <c r="F49" t="s">
        <v>34</v>
      </c>
      <c r="G49" t="s">
        <v>30</v>
      </c>
      <c r="H49" t="s">
        <v>35</v>
      </c>
      <c r="I49">
        <v>6</v>
      </c>
      <c r="J49">
        <v>0</v>
      </c>
      <c r="K49" s="11">
        <v>43789</v>
      </c>
      <c r="L49">
        <v>0.56700761422531998</v>
      </c>
      <c r="M49">
        <v>49.8643134059107</v>
      </c>
      <c r="N49">
        <v>73.405092914995905</v>
      </c>
      <c r="O49">
        <v>32.558476749366598</v>
      </c>
      <c r="P49">
        <v>66.324239369798605</v>
      </c>
      <c r="Q49">
        <v>83.703180225178798</v>
      </c>
    </row>
    <row r="50" spans="1:17">
      <c r="A50">
        <v>49</v>
      </c>
      <c r="B50">
        <v>19</v>
      </c>
      <c r="C50">
        <v>184</v>
      </c>
      <c r="D50">
        <v>102</v>
      </c>
      <c r="E50" t="s">
        <v>36</v>
      </c>
      <c r="F50" t="s">
        <v>34</v>
      </c>
      <c r="G50" t="s">
        <v>30</v>
      </c>
      <c r="H50" t="s">
        <v>33</v>
      </c>
      <c r="I50">
        <v>6</v>
      </c>
      <c r="J50">
        <v>0</v>
      </c>
      <c r="K50" s="11">
        <v>43421</v>
      </c>
      <c r="L50">
        <v>0.51439133815666904</v>
      </c>
      <c r="M50">
        <v>55.4157607479044</v>
      </c>
      <c r="N50">
        <v>67.342276438342495</v>
      </c>
      <c r="O50">
        <v>63.0446861576999</v>
      </c>
      <c r="P50">
        <v>33.287617674253802</v>
      </c>
      <c r="Q50">
        <v>58.135163952646899</v>
      </c>
    </row>
    <row r="51" spans="1:17">
      <c r="A51">
        <v>50</v>
      </c>
      <c r="B51">
        <v>27</v>
      </c>
      <c r="C51">
        <v>201</v>
      </c>
      <c r="D51">
        <v>83</v>
      </c>
      <c r="E51" t="s">
        <v>24</v>
      </c>
      <c r="F51" t="s">
        <v>25</v>
      </c>
      <c r="G51" t="s">
        <v>32</v>
      </c>
      <c r="H51" t="s">
        <v>37</v>
      </c>
      <c r="I51">
        <v>8</v>
      </c>
      <c r="J51">
        <v>0</v>
      </c>
      <c r="K51" s="11">
        <v>42383</v>
      </c>
      <c r="L51">
        <v>0.877568627836809</v>
      </c>
      <c r="M51">
        <v>75.214206893212094</v>
      </c>
      <c r="N51">
        <v>92.572480813566997</v>
      </c>
      <c r="O51">
        <v>69.538879328383103</v>
      </c>
      <c r="P51">
        <v>41.639835812925497</v>
      </c>
      <c r="Q51">
        <v>63.591293421273598</v>
      </c>
    </row>
    <row r="52" spans="1:17">
      <c r="A52">
        <v>51</v>
      </c>
      <c r="B52">
        <v>21</v>
      </c>
      <c r="C52">
        <v>201</v>
      </c>
      <c r="D52">
        <v>90</v>
      </c>
      <c r="E52" t="s">
        <v>36</v>
      </c>
      <c r="F52" t="s">
        <v>34</v>
      </c>
      <c r="G52" t="s">
        <v>26</v>
      </c>
      <c r="H52" t="s">
        <v>27</v>
      </c>
      <c r="I52">
        <v>5</v>
      </c>
      <c r="J52">
        <v>0</v>
      </c>
      <c r="K52" s="11">
        <v>42741</v>
      </c>
      <c r="L52">
        <v>0.810154775676732</v>
      </c>
      <c r="M52">
        <v>69.954481326823796</v>
      </c>
      <c r="N52">
        <v>85.201804785717101</v>
      </c>
      <c r="O52">
        <v>34.599604759984601</v>
      </c>
      <c r="P52">
        <v>81.662353149845899</v>
      </c>
      <c r="Q52">
        <v>73.925382425285903</v>
      </c>
    </row>
    <row r="53" spans="1:17">
      <c r="A53">
        <v>52</v>
      </c>
      <c r="B53">
        <v>31</v>
      </c>
      <c r="C53">
        <v>193</v>
      </c>
      <c r="D53">
        <v>89</v>
      </c>
      <c r="E53" t="s">
        <v>28</v>
      </c>
      <c r="F53" t="s">
        <v>29</v>
      </c>
      <c r="G53" t="s">
        <v>30</v>
      </c>
      <c r="H53" t="s">
        <v>35</v>
      </c>
      <c r="I53">
        <v>7</v>
      </c>
      <c r="J53">
        <v>0</v>
      </c>
      <c r="K53" s="11">
        <v>41648</v>
      </c>
      <c r="L53">
        <v>0.85203988404961095</v>
      </c>
      <c r="M53">
        <v>54.926770812849199</v>
      </c>
      <c r="N53">
        <v>40.617241581292497</v>
      </c>
      <c r="O53">
        <v>84.286933168650705</v>
      </c>
      <c r="P53">
        <v>35.795906754758803</v>
      </c>
      <c r="Q53">
        <v>91.157397993043702</v>
      </c>
    </row>
    <row r="54" spans="1:17">
      <c r="A54">
        <v>53</v>
      </c>
      <c r="B54">
        <v>33</v>
      </c>
      <c r="C54">
        <v>181</v>
      </c>
      <c r="D54">
        <v>77</v>
      </c>
      <c r="E54" t="s">
        <v>28</v>
      </c>
      <c r="F54" t="s">
        <v>29</v>
      </c>
      <c r="G54" t="s">
        <v>30</v>
      </c>
      <c r="H54" t="s">
        <v>35</v>
      </c>
      <c r="I54">
        <v>5</v>
      </c>
      <c r="J54">
        <v>0</v>
      </c>
      <c r="K54" s="11">
        <v>44502</v>
      </c>
      <c r="L54">
        <v>0.60648208075445498</v>
      </c>
      <c r="M54">
        <v>99.056067415508494</v>
      </c>
      <c r="N54">
        <v>51.820544745688302</v>
      </c>
      <c r="O54">
        <v>61.730218432361902</v>
      </c>
      <c r="P54">
        <v>72.220647662647096</v>
      </c>
      <c r="Q54">
        <v>98.885842843950599</v>
      </c>
    </row>
    <row r="55" spans="1:17">
      <c r="A55">
        <v>54</v>
      </c>
      <c r="B55">
        <v>32</v>
      </c>
      <c r="C55">
        <v>208</v>
      </c>
      <c r="D55">
        <v>76</v>
      </c>
      <c r="E55" t="s">
        <v>28</v>
      </c>
      <c r="F55" t="s">
        <v>34</v>
      </c>
      <c r="G55" t="s">
        <v>32</v>
      </c>
      <c r="H55" t="s">
        <v>37</v>
      </c>
      <c r="I55">
        <v>4</v>
      </c>
      <c r="J55">
        <v>1</v>
      </c>
      <c r="K55" s="11">
        <v>41771</v>
      </c>
      <c r="L55">
        <v>0.56818573779338399</v>
      </c>
      <c r="M55">
        <v>72.404237354982101</v>
      </c>
      <c r="N55">
        <v>47.394239787012602</v>
      </c>
      <c r="O55">
        <v>66.707318852930598</v>
      </c>
      <c r="P55">
        <v>47.174437677692403</v>
      </c>
      <c r="Q55">
        <v>83.7791389705162</v>
      </c>
    </row>
    <row r="56" spans="1:17">
      <c r="A56">
        <v>55</v>
      </c>
      <c r="B56">
        <v>25</v>
      </c>
      <c r="C56">
        <v>171</v>
      </c>
      <c r="D56">
        <v>72</v>
      </c>
      <c r="E56" t="s">
        <v>24</v>
      </c>
      <c r="F56" t="s">
        <v>25</v>
      </c>
      <c r="G56" t="s">
        <v>26</v>
      </c>
      <c r="H56" t="s">
        <v>33</v>
      </c>
      <c r="I56">
        <v>8</v>
      </c>
      <c r="J56">
        <v>0</v>
      </c>
      <c r="K56" s="11">
        <v>44380</v>
      </c>
      <c r="L56">
        <v>0.50727233283394102</v>
      </c>
      <c r="M56">
        <v>46.605875421519599</v>
      </c>
      <c r="N56">
        <v>82.076240480087307</v>
      </c>
      <c r="O56">
        <v>60.853392285675902</v>
      </c>
      <c r="P56">
        <v>57.250692982938297</v>
      </c>
      <c r="Q56">
        <v>59.2436747517133</v>
      </c>
    </row>
    <row r="57" spans="1:17">
      <c r="A57">
        <v>56</v>
      </c>
      <c r="B57">
        <v>31</v>
      </c>
      <c r="C57">
        <v>172</v>
      </c>
      <c r="D57">
        <v>86</v>
      </c>
      <c r="E57" t="s">
        <v>24</v>
      </c>
      <c r="F57" t="s">
        <v>31</v>
      </c>
      <c r="G57" t="s">
        <v>26</v>
      </c>
      <c r="H57" t="s">
        <v>33</v>
      </c>
      <c r="I57">
        <v>9</v>
      </c>
      <c r="J57">
        <v>0</v>
      </c>
      <c r="K57" s="11">
        <v>42821</v>
      </c>
      <c r="L57">
        <v>0.67529377940329804</v>
      </c>
      <c r="M57">
        <v>37.124773083428202</v>
      </c>
      <c r="N57">
        <v>32.347270431504498</v>
      </c>
      <c r="O57">
        <v>58.053414261272799</v>
      </c>
      <c r="P57">
        <v>50.208561573948899</v>
      </c>
      <c r="Q57">
        <v>59.494990159394902</v>
      </c>
    </row>
    <row r="58" spans="1:17">
      <c r="A58">
        <v>57</v>
      </c>
      <c r="B58">
        <v>25</v>
      </c>
      <c r="C58">
        <v>206</v>
      </c>
      <c r="D58">
        <v>102</v>
      </c>
      <c r="E58" t="s">
        <v>24</v>
      </c>
      <c r="F58" t="s">
        <v>31</v>
      </c>
      <c r="G58" t="s">
        <v>26</v>
      </c>
      <c r="H58" t="s">
        <v>33</v>
      </c>
      <c r="I58">
        <v>5</v>
      </c>
      <c r="J58">
        <v>0</v>
      </c>
      <c r="K58" s="11">
        <v>43268</v>
      </c>
      <c r="L58">
        <v>0.79495884342731604</v>
      </c>
      <c r="M58">
        <v>40.700139742903197</v>
      </c>
      <c r="N58">
        <v>69.892277940992102</v>
      </c>
      <c r="O58">
        <v>69.1748231915752</v>
      </c>
      <c r="P58">
        <v>54.897090152546397</v>
      </c>
      <c r="Q58">
        <v>81.630761111222398</v>
      </c>
    </row>
    <row r="59" spans="1:17">
      <c r="A59">
        <v>58</v>
      </c>
      <c r="B59">
        <v>33</v>
      </c>
      <c r="C59">
        <v>186</v>
      </c>
      <c r="D59">
        <v>81</v>
      </c>
      <c r="E59" t="s">
        <v>36</v>
      </c>
      <c r="F59" t="s">
        <v>34</v>
      </c>
      <c r="G59" t="s">
        <v>32</v>
      </c>
      <c r="H59" t="s">
        <v>33</v>
      </c>
      <c r="I59">
        <v>3</v>
      </c>
      <c r="J59">
        <v>0</v>
      </c>
      <c r="K59" s="11">
        <v>42819</v>
      </c>
      <c r="L59">
        <v>0.69612202254986599</v>
      </c>
      <c r="M59">
        <v>47.217040986915499</v>
      </c>
      <c r="N59">
        <v>83.372108001848304</v>
      </c>
      <c r="O59">
        <v>40.866817215149801</v>
      </c>
      <c r="P59">
        <v>80.333213362897098</v>
      </c>
      <c r="Q59">
        <v>46.714400203781103</v>
      </c>
    </row>
    <row r="60" spans="1:17">
      <c r="A60">
        <v>59</v>
      </c>
      <c r="B60">
        <v>30</v>
      </c>
      <c r="C60">
        <v>171</v>
      </c>
      <c r="D60">
        <v>91</v>
      </c>
      <c r="E60" t="s">
        <v>24</v>
      </c>
      <c r="F60" t="s">
        <v>29</v>
      </c>
      <c r="G60" t="s">
        <v>32</v>
      </c>
      <c r="H60" t="s">
        <v>27</v>
      </c>
      <c r="I60">
        <v>11</v>
      </c>
      <c r="J60">
        <v>0</v>
      </c>
      <c r="K60" s="11">
        <v>43251</v>
      </c>
      <c r="L60">
        <v>0.71873746101186398</v>
      </c>
      <c r="M60">
        <v>41.247696128168897</v>
      </c>
      <c r="N60">
        <v>91.373594573322407</v>
      </c>
      <c r="O60">
        <v>42.734969134668901</v>
      </c>
      <c r="P60">
        <v>50.798520093622201</v>
      </c>
      <c r="Q60">
        <v>37.733187919197597</v>
      </c>
    </row>
    <row r="61" spans="1:17">
      <c r="A61">
        <v>60</v>
      </c>
      <c r="B61">
        <v>32</v>
      </c>
      <c r="C61">
        <v>171</v>
      </c>
      <c r="D61">
        <v>91</v>
      </c>
      <c r="E61" t="s">
        <v>28</v>
      </c>
      <c r="F61" t="s">
        <v>25</v>
      </c>
      <c r="G61" t="s">
        <v>32</v>
      </c>
      <c r="H61" t="s">
        <v>27</v>
      </c>
      <c r="I61">
        <v>4</v>
      </c>
      <c r="J61">
        <v>0</v>
      </c>
      <c r="K61" s="11">
        <v>43124</v>
      </c>
      <c r="L61">
        <v>0.95207934724687404</v>
      </c>
      <c r="M61">
        <v>43.059691683591403</v>
      </c>
      <c r="N61">
        <v>53.945722410113497</v>
      </c>
      <c r="O61">
        <v>90.324993470946197</v>
      </c>
      <c r="P61">
        <v>69.648324820782804</v>
      </c>
      <c r="Q61">
        <v>54.823551034854297</v>
      </c>
    </row>
    <row r="62" spans="1:17">
      <c r="A62">
        <v>61</v>
      </c>
      <c r="B62">
        <v>30</v>
      </c>
      <c r="C62">
        <v>197</v>
      </c>
      <c r="D62">
        <v>99</v>
      </c>
      <c r="E62" t="s">
        <v>24</v>
      </c>
      <c r="F62" t="s">
        <v>31</v>
      </c>
      <c r="G62" t="s">
        <v>26</v>
      </c>
      <c r="H62" t="s">
        <v>35</v>
      </c>
      <c r="I62">
        <v>2</v>
      </c>
      <c r="J62">
        <v>0</v>
      </c>
      <c r="K62" s="11">
        <v>43663</v>
      </c>
      <c r="L62">
        <v>0.67412773351165001</v>
      </c>
      <c r="M62">
        <v>49.956661808569201</v>
      </c>
      <c r="N62">
        <v>87.488011327040894</v>
      </c>
      <c r="O62">
        <v>96.228082349354295</v>
      </c>
      <c r="P62">
        <v>63.323528153936898</v>
      </c>
      <c r="Q62">
        <v>50.106729415785701</v>
      </c>
    </row>
    <row r="63" spans="1:17">
      <c r="A63">
        <v>62</v>
      </c>
      <c r="B63">
        <v>26</v>
      </c>
      <c r="C63">
        <v>192</v>
      </c>
      <c r="D63">
        <v>107</v>
      </c>
      <c r="E63" t="s">
        <v>36</v>
      </c>
      <c r="F63" t="s">
        <v>25</v>
      </c>
      <c r="G63" t="s">
        <v>26</v>
      </c>
      <c r="H63" t="s">
        <v>27</v>
      </c>
      <c r="I63">
        <v>9</v>
      </c>
      <c r="J63">
        <v>0</v>
      </c>
      <c r="K63" s="11">
        <v>42825</v>
      </c>
      <c r="L63">
        <v>0.75699474457990501</v>
      </c>
      <c r="M63">
        <v>42.136151670632799</v>
      </c>
      <c r="N63">
        <v>37.744221586864498</v>
      </c>
      <c r="O63">
        <v>56.131652139582698</v>
      </c>
      <c r="P63">
        <v>76.456981575385299</v>
      </c>
      <c r="Q63">
        <v>50.741568431919298</v>
      </c>
    </row>
    <row r="64" spans="1:17">
      <c r="A64">
        <v>63</v>
      </c>
      <c r="B64">
        <v>32</v>
      </c>
      <c r="C64">
        <v>206</v>
      </c>
      <c r="D64">
        <v>107</v>
      </c>
      <c r="E64" t="s">
        <v>36</v>
      </c>
      <c r="F64" t="s">
        <v>25</v>
      </c>
      <c r="G64" t="s">
        <v>30</v>
      </c>
      <c r="H64" t="s">
        <v>35</v>
      </c>
      <c r="I64">
        <v>4</v>
      </c>
      <c r="J64">
        <v>0</v>
      </c>
      <c r="K64" s="11">
        <v>43118</v>
      </c>
      <c r="L64">
        <v>0.89182650637057104</v>
      </c>
      <c r="M64">
        <v>92.773579723849707</v>
      </c>
      <c r="N64">
        <v>89.251660421416204</v>
      </c>
      <c r="O64">
        <v>48.952127120048701</v>
      </c>
      <c r="P64">
        <v>95.578081752732999</v>
      </c>
      <c r="Q64">
        <v>46.352542573493601</v>
      </c>
    </row>
    <row r="65" spans="1:17">
      <c r="A65">
        <v>64</v>
      </c>
      <c r="B65">
        <v>30</v>
      </c>
      <c r="C65">
        <v>201</v>
      </c>
      <c r="D65">
        <v>77</v>
      </c>
      <c r="E65" t="s">
        <v>24</v>
      </c>
      <c r="F65" t="s">
        <v>25</v>
      </c>
      <c r="G65" t="s">
        <v>32</v>
      </c>
      <c r="H65" t="s">
        <v>37</v>
      </c>
      <c r="I65">
        <v>11</v>
      </c>
      <c r="J65">
        <v>0</v>
      </c>
      <c r="K65" s="11">
        <v>42735</v>
      </c>
      <c r="L65">
        <v>0.69827139116063497</v>
      </c>
      <c r="M65">
        <v>35.616362196314903</v>
      </c>
      <c r="N65">
        <v>38.924206363238703</v>
      </c>
      <c r="O65">
        <v>75.079968026731095</v>
      </c>
      <c r="P65">
        <v>81.2800468047175</v>
      </c>
      <c r="Q65">
        <v>32.946523274545299</v>
      </c>
    </row>
    <row r="66" spans="1:17">
      <c r="A66">
        <v>65</v>
      </c>
      <c r="B66">
        <v>18</v>
      </c>
      <c r="C66">
        <v>202</v>
      </c>
      <c r="D66">
        <v>96</v>
      </c>
      <c r="E66" t="s">
        <v>28</v>
      </c>
      <c r="F66" t="s">
        <v>34</v>
      </c>
      <c r="G66" t="s">
        <v>30</v>
      </c>
      <c r="H66" t="s">
        <v>35</v>
      </c>
      <c r="I66">
        <v>8</v>
      </c>
      <c r="J66">
        <v>0</v>
      </c>
      <c r="K66" s="11">
        <v>42965</v>
      </c>
      <c r="L66">
        <v>0.81104335011393602</v>
      </c>
      <c r="M66">
        <v>66.7157972699178</v>
      </c>
      <c r="N66">
        <v>57.810110339225702</v>
      </c>
      <c r="O66">
        <v>58.611391976866699</v>
      </c>
      <c r="P66">
        <v>45.045826501352899</v>
      </c>
      <c r="Q66">
        <v>31.251175431338901</v>
      </c>
    </row>
    <row r="67" spans="1:17">
      <c r="A67">
        <v>66</v>
      </c>
      <c r="B67">
        <v>24</v>
      </c>
      <c r="C67">
        <v>170</v>
      </c>
      <c r="D67">
        <v>96</v>
      </c>
      <c r="E67" t="s">
        <v>24</v>
      </c>
      <c r="F67" t="s">
        <v>31</v>
      </c>
      <c r="G67" t="s">
        <v>32</v>
      </c>
      <c r="H67" t="s">
        <v>27</v>
      </c>
      <c r="I67">
        <v>11</v>
      </c>
      <c r="J67">
        <v>0</v>
      </c>
      <c r="K67" s="11">
        <v>44272</v>
      </c>
      <c r="L67">
        <v>0.93118185437337198</v>
      </c>
      <c r="M67">
        <v>58.727777889276297</v>
      </c>
      <c r="N67">
        <v>85.810675604568701</v>
      </c>
      <c r="O67">
        <v>31.777044896224101</v>
      </c>
      <c r="P67">
        <v>32.182819454289898</v>
      </c>
      <c r="Q67">
        <v>99.140567281522195</v>
      </c>
    </row>
    <row r="68" spans="1:17">
      <c r="A68">
        <v>67</v>
      </c>
      <c r="B68">
        <v>26</v>
      </c>
      <c r="C68">
        <v>188</v>
      </c>
      <c r="D68">
        <v>103</v>
      </c>
      <c r="E68" t="s">
        <v>36</v>
      </c>
      <c r="F68" t="s">
        <v>34</v>
      </c>
      <c r="G68" t="s">
        <v>26</v>
      </c>
      <c r="H68" t="s">
        <v>33</v>
      </c>
      <c r="I68">
        <v>6</v>
      </c>
      <c r="J68">
        <v>1</v>
      </c>
      <c r="K68" s="11">
        <v>42039</v>
      </c>
      <c r="L68">
        <v>0.97476031182882095</v>
      </c>
      <c r="M68">
        <v>98.766503183602396</v>
      </c>
      <c r="N68">
        <v>40.494219914414103</v>
      </c>
      <c r="O68">
        <v>40.930681815633299</v>
      </c>
      <c r="P68">
        <v>48.358483100987698</v>
      </c>
      <c r="Q68">
        <v>59.944119361510303</v>
      </c>
    </row>
    <row r="69" spans="1:17">
      <c r="A69">
        <v>68</v>
      </c>
      <c r="B69">
        <v>18</v>
      </c>
      <c r="C69">
        <v>171</v>
      </c>
      <c r="D69">
        <v>90</v>
      </c>
      <c r="E69" t="s">
        <v>24</v>
      </c>
      <c r="F69" t="s">
        <v>29</v>
      </c>
      <c r="G69" t="s">
        <v>26</v>
      </c>
      <c r="H69" t="s">
        <v>37</v>
      </c>
      <c r="I69">
        <v>11</v>
      </c>
      <c r="J69">
        <v>1</v>
      </c>
      <c r="K69" s="11">
        <v>42604</v>
      </c>
      <c r="L69">
        <v>0.57353674046451897</v>
      </c>
      <c r="M69">
        <v>37.8427231517636</v>
      </c>
      <c r="N69">
        <v>46.047597666284901</v>
      </c>
      <c r="O69">
        <v>80.118056019317805</v>
      </c>
      <c r="P69">
        <v>71.655455149017797</v>
      </c>
      <c r="Q69">
        <v>56.902865301177698</v>
      </c>
    </row>
    <row r="70" spans="1:17">
      <c r="A70">
        <v>69</v>
      </c>
      <c r="B70">
        <v>29</v>
      </c>
      <c r="C70">
        <v>195</v>
      </c>
      <c r="D70">
        <v>99</v>
      </c>
      <c r="E70" t="s">
        <v>24</v>
      </c>
      <c r="F70" t="s">
        <v>38</v>
      </c>
      <c r="G70" t="s">
        <v>26</v>
      </c>
      <c r="H70" t="s">
        <v>35</v>
      </c>
      <c r="I70">
        <v>6</v>
      </c>
      <c r="J70">
        <v>0</v>
      </c>
      <c r="K70" s="11">
        <v>42922</v>
      </c>
      <c r="L70">
        <v>0.96329381258074698</v>
      </c>
      <c r="M70">
        <v>57.849891933201903</v>
      </c>
      <c r="N70">
        <v>80.557679787514601</v>
      </c>
      <c r="O70">
        <v>76.124675933710506</v>
      </c>
      <c r="P70">
        <v>33.599806943897498</v>
      </c>
      <c r="Q70">
        <v>77.575309788514801</v>
      </c>
    </row>
    <row r="71" spans="1:17">
      <c r="A71">
        <v>70</v>
      </c>
      <c r="B71">
        <v>25</v>
      </c>
      <c r="C71">
        <v>201</v>
      </c>
      <c r="D71">
        <v>102</v>
      </c>
      <c r="E71" t="s">
        <v>28</v>
      </c>
      <c r="F71" t="s">
        <v>34</v>
      </c>
      <c r="G71" t="s">
        <v>26</v>
      </c>
      <c r="H71" t="s">
        <v>27</v>
      </c>
      <c r="I71">
        <v>8</v>
      </c>
      <c r="J71">
        <v>1</v>
      </c>
      <c r="K71" s="11">
        <v>44352</v>
      </c>
      <c r="L71">
        <v>0.74605814653976898</v>
      </c>
      <c r="M71">
        <v>97.862930329275798</v>
      </c>
      <c r="N71">
        <v>80.402557558225197</v>
      </c>
      <c r="O71">
        <v>31.896719475243799</v>
      </c>
      <c r="P71">
        <v>64.7456373040865</v>
      </c>
      <c r="Q71">
        <v>45.277772150554398</v>
      </c>
    </row>
    <row r="72" spans="1:17">
      <c r="A72">
        <v>71</v>
      </c>
      <c r="B72">
        <v>28</v>
      </c>
      <c r="C72">
        <v>175</v>
      </c>
      <c r="D72">
        <v>97</v>
      </c>
      <c r="E72" t="s">
        <v>36</v>
      </c>
      <c r="F72" t="s">
        <v>25</v>
      </c>
      <c r="G72" t="s">
        <v>30</v>
      </c>
      <c r="H72" t="s">
        <v>35</v>
      </c>
      <c r="I72">
        <v>10</v>
      </c>
      <c r="J72">
        <v>0</v>
      </c>
      <c r="K72" s="11">
        <v>44400</v>
      </c>
      <c r="L72">
        <v>0.62912219414947901</v>
      </c>
      <c r="M72">
        <v>90.585498812578606</v>
      </c>
      <c r="N72">
        <v>74.880334301970805</v>
      </c>
      <c r="O72">
        <v>45.538051335306399</v>
      </c>
      <c r="P72">
        <v>71.778999424182203</v>
      </c>
      <c r="Q72">
        <v>96.497282876515698</v>
      </c>
    </row>
    <row r="73" spans="1:17">
      <c r="A73">
        <v>72</v>
      </c>
      <c r="B73">
        <v>34</v>
      </c>
      <c r="C73">
        <v>201</v>
      </c>
      <c r="D73">
        <v>102</v>
      </c>
      <c r="E73" t="s">
        <v>36</v>
      </c>
      <c r="F73" t="s">
        <v>25</v>
      </c>
      <c r="G73" t="s">
        <v>26</v>
      </c>
      <c r="H73" t="s">
        <v>37</v>
      </c>
      <c r="I73">
        <v>6</v>
      </c>
      <c r="J73">
        <v>0</v>
      </c>
      <c r="K73" s="11">
        <v>42536</v>
      </c>
      <c r="L73">
        <v>0.72956787811913004</v>
      </c>
      <c r="M73">
        <v>87.195044966449501</v>
      </c>
      <c r="N73">
        <v>78.576391112696996</v>
      </c>
      <c r="O73">
        <v>46.175235761164998</v>
      </c>
      <c r="P73">
        <v>53.397072357187199</v>
      </c>
      <c r="Q73">
        <v>85.044151009088594</v>
      </c>
    </row>
    <row r="74" spans="1:17">
      <c r="A74">
        <v>73</v>
      </c>
      <c r="B74">
        <v>25</v>
      </c>
      <c r="C74">
        <v>173</v>
      </c>
      <c r="D74">
        <v>74</v>
      </c>
      <c r="E74" t="s">
        <v>28</v>
      </c>
      <c r="F74" t="s">
        <v>25</v>
      </c>
      <c r="G74" t="s">
        <v>26</v>
      </c>
      <c r="H74" t="s">
        <v>37</v>
      </c>
      <c r="I74">
        <v>2</v>
      </c>
      <c r="J74">
        <v>0</v>
      </c>
      <c r="K74" s="11">
        <v>41926</v>
      </c>
      <c r="L74">
        <v>0.99001628764273797</v>
      </c>
      <c r="M74">
        <v>48.0531978931457</v>
      </c>
      <c r="N74">
        <v>67.990711034331696</v>
      </c>
      <c r="O74">
        <v>77.032492051910907</v>
      </c>
      <c r="P74">
        <v>83.963854262207505</v>
      </c>
      <c r="Q74">
        <v>36.258770161858102</v>
      </c>
    </row>
    <row r="75" spans="1:17">
      <c r="A75">
        <v>74</v>
      </c>
      <c r="B75">
        <v>20</v>
      </c>
      <c r="C75">
        <v>180</v>
      </c>
      <c r="D75">
        <v>88</v>
      </c>
      <c r="E75" t="s">
        <v>24</v>
      </c>
      <c r="F75" t="s">
        <v>38</v>
      </c>
      <c r="G75" t="s">
        <v>30</v>
      </c>
      <c r="H75" t="s">
        <v>27</v>
      </c>
      <c r="I75">
        <v>11</v>
      </c>
      <c r="J75">
        <v>0</v>
      </c>
      <c r="K75" s="11">
        <v>42236</v>
      </c>
      <c r="L75">
        <v>0.74630904699643397</v>
      </c>
      <c r="M75">
        <v>41.962131117304601</v>
      </c>
      <c r="N75">
        <v>47.625934123486601</v>
      </c>
      <c r="O75">
        <v>31.379737642805399</v>
      </c>
      <c r="P75">
        <v>37.461877719363997</v>
      </c>
      <c r="Q75">
        <v>59.230654304944899</v>
      </c>
    </row>
    <row r="76" spans="1:17">
      <c r="A76">
        <v>75</v>
      </c>
      <c r="B76">
        <v>20</v>
      </c>
      <c r="C76">
        <v>186</v>
      </c>
      <c r="D76">
        <v>73</v>
      </c>
      <c r="E76" t="s">
        <v>36</v>
      </c>
      <c r="F76" t="s">
        <v>34</v>
      </c>
      <c r="G76" t="s">
        <v>26</v>
      </c>
      <c r="H76" t="s">
        <v>27</v>
      </c>
      <c r="I76">
        <v>11</v>
      </c>
      <c r="J76">
        <v>0</v>
      </c>
      <c r="K76" s="11">
        <v>41941</v>
      </c>
      <c r="L76">
        <v>0.66437580514375405</v>
      </c>
      <c r="M76">
        <v>76.8050253947101</v>
      </c>
      <c r="N76">
        <v>54.198719545274301</v>
      </c>
      <c r="O76">
        <v>37.287600738920098</v>
      </c>
      <c r="P76">
        <v>35.259644721506596</v>
      </c>
      <c r="Q76">
        <v>91.538281529351494</v>
      </c>
    </row>
    <row r="77" spans="1:17">
      <c r="A77">
        <v>76</v>
      </c>
      <c r="B77">
        <v>18</v>
      </c>
      <c r="C77">
        <v>207</v>
      </c>
      <c r="D77">
        <v>104</v>
      </c>
      <c r="E77" t="s">
        <v>24</v>
      </c>
      <c r="F77" t="s">
        <v>29</v>
      </c>
      <c r="G77" t="s">
        <v>32</v>
      </c>
      <c r="H77" t="s">
        <v>27</v>
      </c>
      <c r="I77">
        <v>2</v>
      </c>
      <c r="J77">
        <v>0</v>
      </c>
      <c r="K77" s="11">
        <v>42600</v>
      </c>
      <c r="L77">
        <v>0.816700427158362</v>
      </c>
      <c r="M77">
        <v>95.056319238930996</v>
      </c>
      <c r="N77">
        <v>42.711840176099798</v>
      </c>
      <c r="O77">
        <v>85.9941259761232</v>
      </c>
      <c r="P77">
        <v>80.973212934252203</v>
      </c>
      <c r="Q77">
        <v>96.131241560398706</v>
      </c>
    </row>
    <row r="78" spans="1:17">
      <c r="A78">
        <v>77</v>
      </c>
      <c r="B78">
        <v>22</v>
      </c>
      <c r="C78">
        <v>193</v>
      </c>
      <c r="D78">
        <v>86</v>
      </c>
      <c r="E78" t="s">
        <v>24</v>
      </c>
      <c r="F78" t="s">
        <v>34</v>
      </c>
      <c r="G78" t="s">
        <v>32</v>
      </c>
      <c r="H78" t="s">
        <v>37</v>
      </c>
      <c r="I78">
        <v>3</v>
      </c>
      <c r="J78">
        <v>0</v>
      </c>
      <c r="K78" s="11">
        <v>42714</v>
      </c>
      <c r="L78">
        <v>0.62007280938909604</v>
      </c>
      <c r="M78">
        <v>68.973402510975006</v>
      </c>
      <c r="N78">
        <v>93.591539293353904</v>
      </c>
      <c r="O78">
        <v>42.4981263438033</v>
      </c>
      <c r="P78">
        <v>64.684392134433807</v>
      </c>
      <c r="Q78">
        <v>62.718105787490799</v>
      </c>
    </row>
    <row r="79" spans="1:17">
      <c r="A79">
        <v>78</v>
      </c>
      <c r="B79">
        <v>27</v>
      </c>
      <c r="C79">
        <v>174</v>
      </c>
      <c r="D79">
        <v>97</v>
      </c>
      <c r="E79" t="s">
        <v>24</v>
      </c>
      <c r="F79" t="s">
        <v>38</v>
      </c>
      <c r="G79" t="s">
        <v>26</v>
      </c>
      <c r="H79" t="s">
        <v>27</v>
      </c>
      <c r="I79">
        <v>7</v>
      </c>
      <c r="J79">
        <v>0</v>
      </c>
      <c r="K79" s="11">
        <v>42940</v>
      </c>
      <c r="L79">
        <v>0.53793166405433102</v>
      </c>
      <c r="M79">
        <v>70.012888262892901</v>
      </c>
      <c r="N79">
        <v>70.837425633628399</v>
      </c>
      <c r="O79">
        <v>75.692227549631198</v>
      </c>
      <c r="P79">
        <v>78.188167749941499</v>
      </c>
      <c r="Q79">
        <v>72.938797244749495</v>
      </c>
    </row>
    <row r="80" spans="1:17">
      <c r="A80">
        <v>79</v>
      </c>
      <c r="B80">
        <v>24</v>
      </c>
      <c r="C80">
        <v>203</v>
      </c>
      <c r="D80">
        <v>99</v>
      </c>
      <c r="E80" t="s">
        <v>28</v>
      </c>
      <c r="F80" t="s">
        <v>29</v>
      </c>
      <c r="G80" t="s">
        <v>32</v>
      </c>
      <c r="H80" t="s">
        <v>35</v>
      </c>
      <c r="I80">
        <v>10</v>
      </c>
      <c r="J80">
        <v>1</v>
      </c>
      <c r="K80" s="11">
        <v>44292</v>
      </c>
      <c r="L80">
        <v>0.56443986095532395</v>
      </c>
      <c r="M80">
        <v>49.598536556219798</v>
      </c>
      <c r="N80">
        <v>58.0595991734547</v>
      </c>
      <c r="O80">
        <v>46.672794673270801</v>
      </c>
      <c r="P80">
        <v>60.4379137022622</v>
      </c>
      <c r="Q80">
        <v>41.692376226445198</v>
      </c>
    </row>
    <row r="81" spans="1:17">
      <c r="A81">
        <v>80</v>
      </c>
      <c r="B81">
        <v>26</v>
      </c>
      <c r="C81">
        <v>175</v>
      </c>
      <c r="D81">
        <v>98</v>
      </c>
      <c r="E81" t="s">
        <v>36</v>
      </c>
      <c r="F81" t="s">
        <v>25</v>
      </c>
      <c r="G81" t="s">
        <v>32</v>
      </c>
      <c r="H81" t="s">
        <v>27</v>
      </c>
      <c r="I81">
        <v>9</v>
      </c>
      <c r="J81">
        <v>0</v>
      </c>
      <c r="K81" s="11">
        <v>41658</v>
      </c>
      <c r="L81">
        <v>0.56402291947888605</v>
      </c>
      <c r="M81">
        <v>83.864505323435495</v>
      </c>
      <c r="N81">
        <v>62.340406255089199</v>
      </c>
      <c r="O81">
        <v>36.9608974931541</v>
      </c>
      <c r="P81">
        <v>47.248142326737401</v>
      </c>
      <c r="Q81">
        <v>99.381803829588307</v>
      </c>
    </row>
    <row r="82" spans="1:17">
      <c r="A82">
        <v>81</v>
      </c>
      <c r="B82">
        <v>24</v>
      </c>
      <c r="C82">
        <v>191</v>
      </c>
      <c r="D82">
        <v>75</v>
      </c>
      <c r="E82" t="s">
        <v>36</v>
      </c>
      <c r="F82" t="s">
        <v>29</v>
      </c>
      <c r="G82" t="s">
        <v>26</v>
      </c>
      <c r="H82" t="s">
        <v>33</v>
      </c>
      <c r="I82">
        <v>6</v>
      </c>
      <c r="J82">
        <v>0</v>
      </c>
      <c r="K82" s="11">
        <v>44314</v>
      </c>
      <c r="L82">
        <v>0.57595134675614701</v>
      </c>
      <c r="M82">
        <v>43.0930623990266</v>
      </c>
      <c r="N82">
        <v>96.309833772827005</v>
      </c>
      <c r="O82">
        <v>47.022053369961696</v>
      </c>
      <c r="P82">
        <v>87.337162237193894</v>
      </c>
      <c r="Q82">
        <v>46.217019096841</v>
      </c>
    </row>
    <row r="83" spans="1:17">
      <c r="A83">
        <v>82</v>
      </c>
      <c r="B83">
        <v>26</v>
      </c>
      <c r="C83">
        <v>180</v>
      </c>
      <c r="D83">
        <v>104</v>
      </c>
      <c r="E83" t="s">
        <v>28</v>
      </c>
      <c r="F83" t="s">
        <v>38</v>
      </c>
      <c r="G83" t="s">
        <v>26</v>
      </c>
      <c r="H83" t="s">
        <v>35</v>
      </c>
      <c r="I83">
        <v>2</v>
      </c>
      <c r="J83">
        <v>1</v>
      </c>
      <c r="K83" s="11">
        <v>42108</v>
      </c>
      <c r="L83">
        <v>0.56941358632470496</v>
      </c>
      <c r="M83">
        <v>52.657546548296999</v>
      </c>
      <c r="N83">
        <v>40.734598218125598</v>
      </c>
      <c r="O83">
        <v>80.558685229896099</v>
      </c>
      <c r="P83">
        <v>85.959111527828497</v>
      </c>
      <c r="Q83">
        <v>95.991224189458705</v>
      </c>
    </row>
    <row r="84" spans="1:17">
      <c r="A84">
        <v>83</v>
      </c>
      <c r="B84">
        <v>25</v>
      </c>
      <c r="C84">
        <v>185</v>
      </c>
      <c r="D84">
        <v>106</v>
      </c>
      <c r="E84" t="s">
        <v>36</v>
      </c>
      <c r="F84" t="s">
        <v>31</v>
      </c>
      <c r="G84" t="s">
        <v>30</v>
      </c>
      <c r="H84" t="s">
        <v>33</v>
      </c>
      <c r="I84">
        <v>8</v>
      </c>
      <c r="J84">
        <v>1</v>
      </c>
      <c r="K84" s="11">
        <v>44348</v>
      </c>
      <c r="L84">
        <v>0.82043737240160697</v>
      </c>
      <c r="M84">
        <v>59.780550703149103</v>
      </c>
      <c r="N84">
        <v>71.036088241175804</v>
      </c>
      <c r="O84">
        <v>89.898752767440001</v>
      </c>
      <c r="P84">
        <v>78.628752959809802</v>
      </c>
      <c r="Q84">
        <v>75.475265429465793</v>
      </c>
    </row>
    <row r="85" spans="1:17">
      <c r="A85">
        <v>84</v>
      </c>
      <c r="B85">
        <v>29</v>
      </c>
      <c r="C85">
        <v>202</v>
      </c>
      <c r="D85">
        <v>93</v>
      </c>
      <c r="E85" t="s">
        <v>28</v>
      </c>
      <c r="F85" t="s">
        <v>34</v>
      </c>
      <c r="G85" t="s">
        <v>30</v>
      </c>
      <c r="H85" t="s">
        <v>37</v>
      </c>
      <c r="I85">
        <v>6</v>
      </c>
      <c r="J85">
        <v>1</v>
      </c>
      <c r="K85" s="11">
        <v>42437</v>
      </c>
      <c r="L85">
        <v>0.59094004219957197</v>
      </c>
      <c r="M85">
        <v>65.532726507911804</v>
      </c>
      <c r="N85">
        <v>65.412207521912606</v>
      </c>
      <c r="O85">
        <v>88.115390519689399</v>
      </c>
      <c r="P85">
        <v>49.050159606097303</v>
      </c>
      <c r="Q85">
        <v>72.541575641520097</v>
      </c>
    </row>
    <row r="86" spans="1:17">
      <c r="A86">
        <v>85</v>
      </c>
      <c r="B86">
        <v>19</v>
      </c>
      <c r="C86">
        <v>178</v>
      </c>
      <c r="D86">
        <v>98</v>
      </c>
      <c r="E86" t="s">
        <v>24</v>
      </c>
      <c r="F86" t="s">
        <v>31</v>
      </c>
      <c r="G86" t="s">
        <v>32</v>
      </c>
      <c r="H86" t="s">
        <v>35</v>
      </c>
      <c r="I86">
        <v>7</v>
      </c>
      <c r="J86">
        <v>0</v>
      </c>
      <c r="K86" s="11">
        <v>41609</v>
      </c>
      <c r="L86">
        <v>0.67283364166193105</v>
      </c>
      <c r="M86">
        <v>46.968681269055601</v>
      </c>
      <c r="N86">
        <v>72.801796480425295</v>
      </c>
      <c r="O86">
        <v>57.802847073291801</v>
      </c>
      <c r="P86">
        <v>71.316146680836098</v>
      </c>
      <c r="Q86">
        <v>65.888195771155594</v>
      </c>
    </row>
    <row r="87" spans="1:17">
      <c r="A87">
        <v>86</v>
      </c>
      <c r="B87">
        <v>18</v>
      </c>
      <c r="C87">
        <v>175</v>
      </c>
      <c r="D87">
        <v>100</v>
      </c>
      <c r="E87" t="s">
        <v>24</v>
      </c>
      <c r="F87" t="s">
        <v>29</v>
      </c>
      <c r="G87" t="s">
        <v>30</v>
      </c>
      <c r="H87" t="s">
        <v>27</v>
      </c>
      <c r="I87">
        <v>8</v>
      </c>
      <c r="J87">
        <v>0</v>
      </c>
      <c r="K87" s="11">
        <v>42308</v>
      </c>
      <c r="L87">
        <v>0.94839420495300497</v>
      </c>
      <c r="M87">
        <v>38.038577731744198</v>
      </c>
      <c r="N87">
        <v>31.267712867458801</v>
      </c>
      <c r="O87">
        <v>76.765959559945202</v>
      </c>
      <c r="P87">
        <v>55.268172785801802</v>
      </c>
      <c r="Q87">
        <v>46.146886820243097</v>
      </c>
    </row>
    <row r="88" spans="1:17">
      <c r="A88">
        <v>87</v>
      </c>
      <c r="B88">
        <v>33</v>
      </c>
      <c r="C88">
        <v>185</v>
      </c>
      <c r="D88">
        <v>104</v>
      </c>
      <c r="E88" t="s">
        <v>24</v>
      </c>
      <c r="F88" t="s">
        <v>34</v>
      </c>
      <c r="G88" t="s">
        <v>26</v>
      </c>
      <c r="H88" t="s">
        <v>33</v>
      </c>
      <c r="I88">
        <v>4</v>
      </c>
      <c r="J88">
        <v>0</v>
      </c>
      <c r="K88" s="11">
        <v>43515</v>
      </c>
      <c r="L88">
        <v>0.73698082013143595</v>
      </c>
      <c r="M88">
        <v>72.743402970914204</v>
      </c>
      <c r="N88">
        <v>91.048673626090604</v>
      </c>
      <c r="O88">
        <v>44.348900679107402</v>
      </c>
      <c r="P88">
        <v>36.410745132864299</v>
      </c>
      <c r="Q88">
        <v>42.356962240385499</v>
      </c>
    </row>
    <row r="89" spans="1:17">
      <c r="A89">
        <v>88</v>
      </c>
      <c r="B89">
        <v>22</v>
      </c>
      <c r="C89">
        <v>198</v>
      </c>
      <c r="D89">
        <v>102</v>
      </c>
      <c r="E89" t="s">
        <v>24</v>
      </c>
      <c r="F89" t="s">
        <v>25</v>
      </c>
      <c r="G89" t="s">
        <v>26</v>
      </c>
      <c r="H89" t="s">
        <v>37</v>
      </c>
      <c r="I89">
        <v>11</v>
      </c>
      <c r="J89">
        <v>0</v>
      </c>
      <c r="K89" s="11">
        <v>44118</v>
      </c>
      <c r="L89">
        <v>0.83377886926051303</v>
      </c>
      <c r="M89">
        <v>50.204138726817902</v>
      </c>
      <c r="N89">
        <v>95.248279773852801</v>
      </c>
      <c r="O89">
        <v>50.520341118270899</v>
      </c>
      <c r="P89">
        <v>94.211950282356995</v>
      </c>
      <c r="Q89">
        <v>45.434034634912202</v>
      </c>
    </row>
    <row r="90" spans="1:17">
      <c r="A90">
        <v>89</v>
      </c>
      <c r="B90">
        <v>20</v>
      </c>
      <c r="C90">
        <v>172</v>
      </c>
      <c r="D90">
        <v>90</v>
      </c>
      <c r="E90" t="s">
        <v>24</v>
      </c>
      <c r="F90" t="s">
        <v>31</v>
      </c>
      <c r="G90" t="s">
        <v>26</v>
      </c>
      <c r="H90" t="s">
        <v>35</v>
      </c>
      <c r="I90">
        <v>4</v>
      </c>
      <c r="J90">
        <v>1</v>
      </c>
      <c r="K90" s="11">
        <v>42793</v>
      </c>
      <c r="L90">
        <v>0.58615993560081403</v>
      </c>
      <c r="M90">
        <v>70.686675499582805</v>
      </c>
      <c r="N90">
        <v>69.559322851244602</v>
      </c>
      <c r="O90">
        <v>92.743507296478299</v>
      </c>
      <c r="P90">
        <v>39.577304164327302</v>
      </c>
      <c r="Q90">
        <v>43.050678350097797</v>
      </c>
    </row>
    <row r="91" spans="1:17">
      <c r="A91">
        <v>90</v>
      </c>
      <c r="B91">
        <v>29</v>
      </c>
      <c r="C91">
        <v>189</v>
      </c>
      <c r="D91">
        <v>101</v>
      </c>
      <c r="E91" t="s">
        <v>24</v>
      </c>
      <c r="F91" t="s">
        <v>34</v>
      </c>
      <c r="G91" t="s">
        <v>26</v>
      </c>
      <c r="H91" t="s">
        <v>37</v>
      </c>
      <c r="I91">
        <v>6</v>
      </c>
      <c r="J91">
        <v>0</v>
      </c>
      <c r="K91" s="11">
        <v>42497</v>
      </c>
      <c r="L91">
        <v>0.59614450940433505</v>
      </c>
      <c r="M91">
        <v>40.805390069194097</v>
      </c>
      <c r="N91">
        <v>78.765557671382396</v>
      </c>
      <c r="O91">
        <v>30.910134645751501</v>
      </c>
      <c r="P91">
        <v>96.516614767456105</v>
      </c>
      <c r="Q91">
        <v>84.570913149672705</v>
      </c>
    </row>
    <row r="92" spans="1:17">
      <c r="A92">
        <v>91</v>
      </c>
      <c r="B92">
        <v>25</v>
      </c>
      <c r="C92">
        <v>205</v>
      </c>
      <c r="D92">
        <v>92</v>
      </c>
      <c r="E92" t="s">
        <v>36</v>
      </c>
      <c r="F92" t="s">
        <v>34</v>
      </c>
      <c r="G92" t="s">
        <v>30</v>
      </c>
      <c r="H92" t="s">
        <v>27</v>
      </c>
      <c r="I92">
        <v>7</v>
      </c>
      <c r="J92">
        <v>1</v>
      </c>
      <c r="K92" s="11">
        <v>43605</v>
      </c>
      <c r="L92">
        <v>0.52043430813323899</v>
      </c>
      <c r="M92">
        <v>63.679807129837201</v>
      </c>
      <c r="N92">
        <v>94.574956682410701</v>
      </c>
      <c r="O92">
        <v>35.985597159812698</v>
      </c>
      <c r="P92">
        <v>61.220404107056901</v>
      </c>
      <c r="Q92">
        <v>54.508768141671098</v>
      </c>
    </row>
    <row r="93" spans="1:17">
      <c r="A93">
        <v>92</v>
      </c>
      <c r="B93">
        <v>20</v>
      </c>
      <c r="C93">
        <v>188</v>
      </c>
      <c r="D93">
        <v>102</v>
      </c>
      <c r="E93" t="s">
        <v>24</v>
      </c>
      <c r="F93" t="s">
        <v>38</v>
      </c>
      <c r="G93" t="s">
        <v>30</v>
      </c>
      <c r="H93" t="s">
        <v>27</v>
      </c>
      <c r="I93">
        <v>10</v>
      </c>
      <c r="J93">
        <v>1</v>
      </c>
      <c r="K93" s="11">
        <v>44077</v>
      </c>
      <c r="L93">
        <v>0.584467531536082</v>
      </c>
      <c r="M93">
        <v>67.281260278611001</v>
      </c>
      <c r="N93">
        <v>79.506704401937895</v>
      </c>
      <c r="O93">
        <v>44.552037860221901</v>
      </c>
      <c r="P93">
        <v>42.959305018703297</v>
      </c>
      <c r="Q93">
        <v>34.048987359437703</v>
      </c>
    </row>
    <row r="94" spans="1:17">
      <c r="A94">
        <v>93</v>
      </c>
      <c r="B94">
        <v>18</v>
      </c>
      <c r="C94">
        <v>195</v>
      </c>
      <c r="D94">
        <v>72</v>
      </c>
      <c r="E94" t="s">
        <v>28</v>
      </c>
      <c r="F94" t="s">
        <v>25</v>
      </c>
      <c r="G94" t="s">
        <v>26</v>
      </c>
      <c r="H94" t="s">
        <v>37</v>
      </c>
      <c r="I94">
        <v>6</v>
      </c>
      <c r="J94">
        <v>1</v>
      </c>
      <c r="K94" s="11">
        <v>44348</v>
      </c>
      <c r="L94">
        <v>0.63929516951597898</v>
      </c>
      <c r="M94">
        <v>33.627647577569803</v>
      </c>
      <c r="N94">
        <v>40.677733003998298</v>
      </c>
      <c r="O94">
        <v>31.857254271167299</v>
      </c>
      <c r="P94">
        <v>67.933066316484997</v>
      </c>
      <c r="Q94">
        <v>97.837184109856693</v>
      </c>
    </row>
    <row r="95" spans="1:17">
      <c r="A95">
        <v>94</v>
      </c>
      <c r="B95">
        <v>20</v>
      </c>
      <c r="C95">
        <v>172</v>
      </c>
      <c r="D95">
        <v>87</v>
      </c>
      <c r="E95" t="s">
        <v>36</v>
      </c>
      <c r="F95" t="s">
        <v>25</v>
      </c>
      <c r="G95" t="s">
        <v>30</v>
      </c>
      <c r="H95" t="s">
        <v>27</v>
      </c>
      <c r="I95">
        <v>2</v>
      </c>
      <c r="J95">
        <v>0</v>
      </c>
      <c r="K95" s="11">
        <v>44368</v>
      </c>
      <c r="L95">
        <v>0.58850524213837296</v>
      </c>
      <c r="M95">
        <v>53.562299473574399</v>
      </c>
      <c r="N95">
        <v>70.340185211676896</v>
      </c>
      <c r="O95">
        <v>42.700480456285803</v>
      </c>
      <c r="P95">
        <v>91.106208511348498</v>
      </c>
      <c r="Q95">
        <v>91.865011947439797</v>
      </c>
    </row>
    <row r="96" spans="1:17">
      <c r="A96">
        <v>95</v>
      </c>
      <c r="B96">
        <v>22</v>
      </c>
      <c r="C96">
        <v>188</v>
      </c>
      <c r="D96">
        <v>94</v>
      </c>
      <c r="E96" t="s">
        <v>28</v>
      </c>
      <c r="F96" t="s">
        <v>29</v>
      </c>
      <c r="G96" t="s">
        <v>30</v>
      </c>
      <c r="H96" t="s">
        <v>27</v>
      </c>
      <c r="I96">
        <v>5</v>
      </c>
      <c r="J96">
        <v>0</v>
      </c>
      <c r="K96" s="11">
        <v>42493</v>
      </c>
      <c r="L96">
        <v>0.54435126687852697</v>
      </c>
      <c r="M96">
        <v>39.409027385728102</v>
      </c>
      <c r="N96">
        <v>72.470053246799907</v>
      </c>
      <c r="O96">
        <v>70.812909267878396</v>
      </c>
      <c r="P96">
        <v>81.255742048669205</v>
      </c>
      <c r="Q96">
        <v>94.942659823664897</v>
      </c>
    </row>
    <row r="97" spans="1:17">
      <c r="A97">
        <v>96</v>
      </c>
      <c r="B97">
        <v>32</v>
      </c>
      <c r="C97">
        <v>189</v>
      </c>
      <c r="D97">
        <v>100</v>
      </c>
      <c r="E97" t="s">
        <v>24</v>
      </c>
      <c r="F97" t="s">
        <v>31</v>
      </c>
      <c r="G97" t="s">
        <v>30</v>
      </c>
      <c r="H97" t="s">
        <v>27</v>
      </c>
      <c r="I97">
        <v>6</v>
      </c>
      <c r="J97">
        <v>0</v>
      </c>
      <c r="K97" s="11">
        <v>44525</v>
      </c>
      <c r="L97">
        <v>0.56031793555029996</v>
      </c>
      <c r="M97">
        <v>34.436247933093703</v>
      </c>
      <c r="N97">
        <v>59.689146991167</v>
      </c>
      <c r="O97">
        <v>59.499718541474799</v>
      </c>
      <c r="P97">
        <v>86.459280350301398</v>
      </c>
      <c r="Q97">
        <v>99.643547585250403</v>
      </c>
    </row>
    <row r="98" spans="1:17">
      <c r="A98">
        <v>97</v>
      </c>
      <c r="B98">
        <v>31</v>
      </c>
      <c r="C98">
        <v>201</v>
      </c>
      <c r="D98">
        <v>72</v>
      </c>
      <c r="E98" t="s">
        <v>28</v>
      </c>
      <c r="F98" t="s">
        <v>29</v>
      </c>
      <c r="G98" t="s">
        <v>32</v>
      </c>
      <c r="H98" t="s">
        <v>33</v>
      </c>
      <c r="I98">
        <v>11</v>
      </c>
      <c r="J98">
        <v>1</v>
      </c>
      <c r="K98" s="11">
        <v>43150</v>
      </c>
      <c r="L98">
        <v>0.730389384016362</v>
      </c>
      <c r="M98">
        <v>99.297216267296093</v>
      </c>
      <c r="N98">
        <v>81.551096493730597</v>
      </c>
      <c r="O98">
        <v>92.487019775388205</v>
      </c>
      <c r="P98">
        <v>76.114835669750207</v>
      </c>
      <c r="Q98">
        <v>42.172667445364098</v>
      </c>
    </row>
    <row r="99" spans="1:17">
      <c r="A99">
        <v>98</v>
      </c>
      <c r="B99">
        <v>20</v>
      </c>
      <c r="C99">
        <v>176</v>
      </c>
      <c r="D99">
        <v>109</v>
      </c>
      <c r="E99" t="s">
        <v>36</v>
      </c>
      <c r="F99" t="s">
        <v>29</v>
      </c>
      <c r="G99" t="s">
        <v>26</v>
      </c>
      <c r="H99" t="s">
        <v>35</v>
      </c>
      <c r="I99">
        <v>11</v>
      </c>
      <c r="J99">
        <v>0</v>
      </c>
      <c r="K99" s="11">
        <v>41958</v>
      </c>
      <c r="L99">
        <v>0.60316685920289603</v>
      </c>
      <c r="M99">
        <v>52.564769148230603</v>
      </c>
      <c r="N99">
        <v>95.405691033831005</v>
      </c>
      <c r="O99">
        <v>87.221049321690799</v>
      </c>
      <c r="P99">
        <v>78.459359516249606</v>
      </c>
      <c r="Q99">
        <v>57.736941323186102</v>
      </c>
    </row>
    <row r="100" spans="1:17">
      <c r="A100">
        <v>99</v>
      </c>
      <c r="B100">
        <v>18</v>
      </c>
      <c r="C100">
        <v>202</v>
      </c>
      <c r="D100">
        <v>93</v>
      </c>
      <c r="E100" t="s">
        <v>24</v>
      </c>
      <c r="F100" t="s">
        <v>34</v>
      </c>
      <c r="G100" t="s">
        <v>30</v>
      </c>
      <c r="H100" t="s">
        <v>37</v>
      </c>
      <c r="I100">
        <v>6</v>
      </c>
      <c r="J100">
        <v>0</v>
      </c>
      <c r="K100" s="11">
        <v>43186</v>
      </c>
      <c r="L100">
        <v>0.68213493052403695</v>
      </c>
      <c r="M100">
        <v>86.691211209824402</v>
      </c>
      <c r="N100">
        <v>94.7897959034743</v>
      </c>
      <c r="O100">
        <v>53.927214618851302</v>
      </c>
      <c r="P100">
        <v>89.443695609572302</v>
      </c>
      <c r="Q100">
        <v>83.076693299286305</v>
      </c>
    </row>
    <row r="101" spans="1:17">
      <c r="A101">
        <v>100</v>
      </c>
      <c r="B101">
        <v>22</v>
      </c>
      <c r="C101">
        <v>209</v>
      </c>
      <c r="D101">
        <v>101</v>
      </c>
      <c r="E101" t="s">
        <v>28</v>
      </c>
      <c r="F101" t="s">
        <v>29</v>
      </c>
      <c r="G101" t="s">
        <v>26</v>
      </c>
      <c r="H101" t="s">
        <v>37</v>
      </c>
      <c r="I101">
        <v>8</v>
      </c>
      <c r="J101">
        <v>0</v>
      </c>
      <c r="K101" s="11">
        <v>44499</v>
      </c>
      <c r="L101">
        <v>0.75170863542742805</v>
      </c>
      <c r="M101">
        <v>47.824845833463399</v>
      </c>
      <c r="N101">
        <v>61.5587559982892</v>
      </c>
      <c r="O101">
        <v>48.1596403401904</v>
      </c>
      <c r="P101">
        <v>47.476760620142997</v>
      </c>
      <c r="Q101">
        <v>78.721443263765394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workbookViewId="0"/>
  </sheetViews>
  <sheetFormatPr defaultColWidth="4.28515625" defaultRowHeight="25.5" customHeight="1"/>
  <cols>
    <col min="1" max="1" width="9.42578125" bestFit="1" customWidth="1"/>
    <col min="2" max="2" width="6.140625" customWidth="1"/>
    <col min="3" max="3" width="12.42578125" customWidth="1"/>
    <col min="4" max="4" width="11.140625" style="44" bestFit="1" customWidth="1"/>
    <col min="5" max="5" width="11.28515625" style="44" bestFit="1" customWidth="1"/>
    <col min="6" max="6" width="10" style="3" customWidth="1"/>
    <col min="7" max="7" width="18.85546875" bestFit="1" customWidth="1"/>
    <col min="8" max="8" width="13.7109375" bestFit="1" customWidth="1"/>
    <col min="9" max="9" width="21.5703125" bestFit="1" customWidth="1"/>
    <col min="10" max="10" width="24.42578125" bestFit="1" customWidth="1"/>
    <col min="11" max="11" width="16.5703125" bestFit="1" customWidth="1"/>
    <col min="12" max="12" width="13.140625" style="11" bestFit="1" customWidth="1"/>
    <col min="13" max="13" width="27.85546875" style="37" bestFit="1" customWidth="1"/>
    <col min="14" max="14" width="18" style="40" bestFit="1" customWidth="1"/>
    <col min="15" max="15" width="16.42578125" style="40" bestFit="1" customWidth="1"/>
    <col min="16" max="16" width="20.28515625" style="40" bestFit="1" customWidth="1"/>
    <col min="17" max="17" width="12.42578125" style="40" bestFit="1" customWidth="1"/>
    <col min="18" max="18" width="19.7109375" style="40" bestFit="1" customWidth="1"/>
  </cols>
  <sheetData>
    <row r="1" spans="1:18" ht="25.5" customHeight="1">
      <c r="A1" s="12" t="s">
        <v>7</v>
      </c>
      <c r="B1" s="12" t="s">
        <v>8</v>
      </c>
      <c r="C1" s="12" t="s">
        <v>39</v>
      </c>
      <c r="D1" s="42" t="s">
        <v>40</v>
      </c>
      <c r="E1" s="42" t="s">
        <v>41</v>
      </c>
      <c r="F1" s="12" t="s">
        <v>11</v>
      </c>
      <c r="G1" s="12" t="s">
        <v>42</v>
      </c>
      <c r="H1" s="12" t="s">
        <v>43</v>
      </c>
      <c r="I1" s="12" t="s">
        <v>44</v>
      </c>
      <c r="J1" s="12" t="s">
        <v>45</v>
      </c>
      <c r="K1" s="12" t="s">
        <v>46</v>
      </c>
      <c r="L1" s="41" t="s">
        <v>47</v>
      </c>
      <c r="M1" s="35" t="s">
        <v>48</v>
      </c>
      <c r="N1" s="38" t="s">
        <v>49</v>
      </c>
      <c r="O1" s="38" t="s">
        <v>50</v>
      </c>
      <c r="P1" s="38" t="s">
        <v>51</v>
      </c>
      <c r="Q1" s="38" t="s">
        <v>52</v>
      </c>
      <c r="R1" s="38" t="s">
        <v>53</v>
      </c>
    </row>
    <row r="2" spans="1:18" ht="25.5" customHeight="1">
      <c r="A2" s="1">
        <v>1</v>
      </c>
      <c r="B2" s="1">
        <v>24</v>
      </c>
      <c r="C2" s="13" t="str">
        <f>IF(B2&gt;=28,"Adult",IF(B2&gt;= 23,"Young Adult",IF(B2&lt;=22,"Adolescent", "invalid")))</f>
        <v>Young Adult</v>
      </c>
      <c r="D2" s="43">
        <v>195</v>
      </c>
      <c r="E2" s="43">
        <v>108</v>
      </c>
      <c r="F2" s="1" t="s">
        <v>24</v>
      </c>
      <c r="G2" s="1" t="s">
        <v>25</v>
      </c>
      <c r="H2" s="1" t="s">
        <v>26</v>
      </c>
      <c r="I2" s="1" t="s">
        <v>27</v>
      </c>
      <c r="J2" s="1">
        <v>7</v>
      </c>
      <c r="K2" s="1">
        <v>0</v>
      </c>
      <c r="L2" s="2">
        <v>43088</v>
      </c>
      <c r="M2" s="36">
        <v>0.86285975400000003</v>
      </c>
      <c r="N2" s="39">
        <v>78.327637999999993</v>
      </c>
      <c r="O2" s="39">
        <v>77.705190560000005</v>
      </c>
      <c r="P2" s="39">
        <v>37.926663210000001</v>
      </c>
      <c r="Q2" s="39">
        <v>56.578468569999998</v>
      </c>
      <c r="R2" s="39">
        <v>64.25974746</v>
      </c>
    </row>
    <row r="3" spans="1:18" ht="25.5" customHeight="1">
      <c r="A3" s="1">
        <v>2</v>
      </c>
      <c r="B3" s="1">
        <v>32</v>
      </c>
      <c r="C3" s="13" t="str">
        <f t="shared" ref="C3:C66" si="0">IF(B3&gt;=28,"Adult",IF(B3&gt;= 23,"Young Adult",IF(B3&lt;=22,"Adolescent", "invalid")))</f>
        <v>Adult</v>
      </c>
      <c r="D3" s="43">
        <v>183</v>
      </c>
      <c r="E3" s="43">
        <v>87</v>
      </c>
      <c r="F3" s="1" t="s">
        <v>28</v>
      </c>
      <c r="G3" s="1" t="s">
        <v>29</v>
      </c>
      <c r="H3" s="1" t="s">
        <v>30</v>
      </c>
      <c r="I3" s="1" t="s">
        <v>27</v>
      </c>
      <c r="J3" s="1">
        <v>8</v>
      </c>
      <c r="K3" s="1">
        <v>0</v>
      </c>
      <c r="L3" s="2">
        <v>42957</v>
      </c>
      <c r="M3" s="36">
        <v>0.80670759800000003</v>
      </c>
      <c r="N3" s="39">
        <v>32.751849790000001</v>
      </c>
      <c r="O3" s="39">
        <v>83.215950190000001</v>
      </c>
      <c r="P3" s="39">
        <v>98.938883930000003</v>
      </c>
      <c r="Q3" s="39">
        <v>71.320645979999995</v>
      </c>
      <c r="R3" s="39">
        <v>45.484660929999997</v>
      </c>
    </row>
    <row r="4" spans="1:18" ht="25.5" customHeight="1">
      <c r="A4" s="1">
        <v>3</v>
      </c>
      <c r="B4" s="1">
        <v>28</v>
      </c>
      <c r="C4" s="13" t="str">
        <f t="shared" si="0"/>
        <v>Adult</v>
      </c>
      <c r="D4" s="43">
        <v>208</v>
      </c>
      <c r="E4" s="43">
        <v>109</v>
      </c>
      <c r="F4" s="1" t="s">
        <v>24</v>
      </c>
      <c r="G4" s="1" t="s">
        <v>31</v>
      </c>
      <c r="H4" s="1" t="s">
        <v>32</v>
      </c>
      <c r="I4" s="1" t="s">
        <v>33</v>
      </c>
      <c r="J4" s="1">
        <v>3</v>
      </c>
      <c r="K4" s="1">
        <v>0</v>
      </c>
      <c r="L4" s="2">
        <v>43425</v>
      </c>
      <c r="M4" s="36">
        <v>0.70912151800000001</v>
      </c>
      <c r="N4" s="39">
        <v>85.958727920000001</v>
      </c>
      <c r="O4" s="39">
        <v>71.694711839999997</v>
      </c>
      <c r="P4" s="39">
        <v>88.722866049999993</v>
      </c>
      <c r="Q4" s="39">
        <v>48.764454860000001</v>
      </c>
      <c r="R4" s="39">
        <v>99.136760559999999</v>
      </c>
    </row>
    <row r="5" spans="1:18" ht="25.5" customHeight="1">
      <c r="A5" s="1">
        <v>4</v>
      </c>
      <c r="B5" s="1">
        <v>25</v>
      </c>
      <c r="C5" s="13" t="str">
        <f t="shared" si="0"/>
        <v>Young Adult</v>
      </c>
      <c r="D5" s="43">
        <v>196</v>
      </c>
      <c r="E5" s="43">
        <v>70</v>
      </c>
      <c r="F5" s="1" t="s">
        <v>28</v>
      </c>
      <c r="G5" s="1" t="s">
        <v>34</v>
      </c>
      <c r="H5" s="1" t="s">
        <v>32</v>
      </c>
      <c r="I5" s="1" t="s">
        <v>35</v>
      </c>
      <c r="J5" s="1">
        <v>11</v>
      </c>
      <c r="K5" s="1">
        <v>0</v>
      </c>
      <c r="L5" s="2">
        <v>42934</v>
      </c>
      <c r="M5" s="36">
        <v>0.96636424200000004</v>
      </c>
      <c r="N5" s="39">
        <v>73.953027259999999</v>
      </c>
      <c r="O5" s="39">
        <v>63.010333199999998</v>
      </c>
      <c r="P5" s="39">
        <v>38.726387680000002</v>
      </c>
      <c r="Q5" s="39">
        <v>73.690423550000006</v>
      </c>
      <c r="R5" s="39">
        <v>96.084153779999994</v>
      </c>
    </row>
    <row r="6" spans="1:18" ht="25.5" customHeight="1">
      <c r="A6" s="1">
        <v>5</v>
      </c>
      <c r="B6" s="1">
        <v>24</v>
      </c>
      <c r="C6" s="13" t="str">
        <f t="shared" si="0"/>
        <v>Young Adult</v>
      </c>
      <c r="D6" s="43">
        <v>178</v>
      </c>
      <c r="E6" s="43">
        <v>80</v>
      </c>
      <c r="F6" s="1" t="s">
        <v>36</v>
      </c>
      <c r="G6" s="1" t="s">
        <v>34</v>
      </c>
      <c r="H6" s="1" t="s">
        <v>32</v>
      </c>
      <c r="I6" s="1" t="s">
        <v>37</v>
      </c>
      <c r="J6" s="1">
        <v>3</v>
      </c>
      <c r="K6" s="1">
        <v>1</v>
      </c>
      <c r="L6" s="2">
        <v>42068</v>
      </c>
      <c r="M6" s="36">
        <v>0.93303194499999997</v>
      </c>
      <c r="N6" s="39">
        <v>35.723132239999998</v>
      </c>
      <c r="O6" s="39">
        <v>58.828863990000002</v>
      </c>
      <c r="P6" s="39">
        <v>94.45893178</v>
      </c>
      <c r="Q6" s="39">
        <v>58.658815650000001</v>
      </c>
      <c r="R6" s="39">
        <v>32.759876800000001</v>
      </c>
    </row>
    <row r="7" spans="1:18" ht="25.5" customHeight="1">
      <c r="A7" s="1">
        <v>6</v>
      </c>
      <c r="B7" s="1">
        <v>28</v>
      </c>
      <c r="C7" s="13" t="str">
        <f t="shared" si="0"/>
        <v>Adult</v>
      </c>
      <c r="D7" s="43">
        <v>184</v>
      </c>
      <c r="E7" s="43">
        <v>97</v>
      </c>
      <c r="F7" s="1" t="s">
        <v>36</v>
      </c>
      <c r="G7" s="1" t="s">
        <v>29</v>
      </c>
      <c r="H7" s="1" t="s">
        <v>26</v>
      </c>
      <c r="I7" s="1" t="s">
        <v>27</v>
      </c>
      <c r="J7" s="1">
        <v>11</v>
      </c>
      <c r="K7" s="1">
        <v>1</v>
      </c>
      <c r="L7" s="2">
        <v>43249</v>
      </c>
      <c r="M7" s="36">
        <v>0.52260933499999995</v>
      </c>
      <c r="N7" s="39">
        <v>91.150503689999994</v>
      </c>
      <c r="O7" s="39">
        <v>54.420778660000003</v>
      </c>
      <c r="P7" s="39">
        <v>90.892745340000005</v>
      </c>
      <c r="Q7" s="39">
        <v>68.643302660000003</v>
      </c>
      <c r="R7" s="39">
        <v>79.390262079999999</v>
      </c>
    </row>
    <row r="8" spans="1:18" ht="25.5" customHeight="1">
      <c r="A8" s="1">
        <v>7</v>
      </c>
      <c r="B8" s="1">
        <v>28</v>
      </c>
      <c r="C8" s="13" t="str">
        <f t="shared" si="0"/>
        <v>Adult</v>
      </c>
      <c r="D8" s="43">
        <v>184</v>
      </c>
      <c r="E8" s="43">
        <v>94</v>
      </c>
      <c r="F8" s="1" t="s">
        <v>36</v>
      </c>
      <c r="G8" s="1" t="s">
        <v>31</v>
      </c>
      <c r="H8" s="1" t="s">
        <v>32</v>
      </c>
      <c r="I8" s="1" t="s">
        <v>27</v>
      </c>
      <c r="J8" s="1">
        <v>2</v>
      </c>
      <c r="K8" s="1">
        <v>0</v>
      </c>
      <c r="L8" s="2">
        <v>42079</v>
      </c>
      <c r="M8" s="36">
        <v>0.51318348700000005</v>
      </c>
      <c r="N8" s="39">
        <v>94.461068040000001</v>
      </c>
      <c r="O8" s="39">
        <v>95.0670401</v>
      </c>
      <c r="P8" s="39">
        <v>66.318663999999998</v>
      </c>
      <c r="Q8" s="39">
        <v>60.528857039999998</v>
      </c>
      <c r="R8" s="39">
        <v>94.767382220000002</v>
      </c>
    </row>
    <row r="9" spans="1:18" ht="25.5" customHeight="1">
      <c r="A9" s="1">
        <v>8</v>
      </c>
      <c r="B9" s="1">
        <v>21</v>
      </c>
      <c r="C9" s="13" t="str">
        <f t="shared" si="0"/>
        <v>Adolescent</v>
      </c>
      <c r="D9" s="43">
        <v>195</v>
      </c>
      <c r="E9" s="43">
        <v>92</v>
      </c>
      <c r="F9" s="1" t="s">
        <v>28</v>
      </c>
      <c r="G9" s="1" t="s">
        <v>29</v>
      </c>
      <c r="H9" s="1" t="s">
        <v>30</v>
      </c>
      <c r="I9" s="1" t="s">
        <v>27</v>
      </c>
      <c r="J9" s="1">
        <v>9</v>
      </c>
      <c r="K9" s="1">
        <v>0</v>
      </c>
      <c r="L9" s="2">
        <v>41785</v>
      </c>
      <c r="M9" s="36">
        <v>0.68823168300000004</v>
      </c>
      <c r="N9" s="39">
        <v>34.275457189999997</v>
      </c>
      <c r="O9" s="39">
        <v>88.143358550000002</v>
      </c>
      <c r="P9" s="39">
        <v>71.389280499999998</v>
      </c>
      <c r="Q9" s="39">
        <v>50.61260317</v>
      </c>
      <c r="R9" s="39">
        <v>42.640274159999997</v>
      </c>
    </row>
    <row r="10" spans="1:18" ht="25.5" customHeight="1">
      <c r="A10" s="1">
        <v>9</v>
      </c>
      <c r="B10" s="1">
        <v>25</v>
      </c>
      <c r="C10" s="13" t="str">
        <f t="shared" si="0"/>
        <v>Young Adult</v>
      </c>
      <c r="D10" s="43">
        <v>182</v>
      </c>
      <c r="E10" s="43">
        <v>100</v>
      </c>
      <c r="F10" s="1" t="s">
        <v>24</v>
      </c>
      <c r="G10" s="1" t="s">
        <v>29</v>
      </c>
      <c r="H10" s="1" t="s">
        <v>32</v>
      </c>
      <c r="I10" s="1" t="s">
        <v>37</v>
      </c>
      <c r="J10" s="1">
        <v>2</v>
      </c>
      <c r="K10" s="1">
        <v>1</v>
      </c>
      <c r="L10" s="2">
        <v>42893</v>
      </c>
      <c r="M10" s="36">
        <v>0.90527666500000004</v>
      </c>
      <c r="N10" s="39">
        <v>49.381435369999998</v>
      </c>
      <c r="O10" s="39">
        <v>97.551883750000002</v>
      </c>
      <c r="P10" s="39">
        <v>57.93018927</v>
      </c>
      <c r="Q10" s="39">
        <v>96.391731489999998</v>
      </c>
      <c r="R10" s="39">
        <v>69.756166140000005</v>
      </c>
    </row>
    <row r="11" spans="1:18" ht="25.5" customHeight="1">
      <c r="A11" s="1">
        <v>10</v>
      </c>
      <c r="B11" s="1">
        <v>20</v>
      </c>
      <c r="C11" s="13" t="str">
        <f t="shared" si="0"/>
        <v>Adolescent</v>
      </c>
      <c r="D11" s="43">
        <v>201</v>
      </c>
      <c r="E11" s="43">
        <v>99</v>
      </c>
      <c r="F11" s="1" t="s">
        <v>24</v>
      </c>
      <c r="G11" s="1" t="s">
        <v>34</v>
      </c>
      <c r="H11" s="1" t="s">
        <v>30</v>
      </c>
      <c r="I11" s="1" t="s">
        <v>35</v>
      </c>
      <c r="J11" s="1">
        <v>10</v>
      </c>
      <c r="K11" s="1">
        <v>0</v>
      </c>
      <c r="L11" s="2">
        <v>42724</v>
      </c>
      <c r="M11" s="36">
        <v>0.99363806499999996</v>
      </c>
      <c r="N11" s="39">
        <v>86.434089589999999</v>
      </c>
      <c r="O11" s="39">
        <v>38.700805639999999</v>
      </c>
      <c r="P11" s="39">
        <v>33.833314719999997</v>
      </c>
      <c r="Q11" s="39">
        <v>83.452405589999998</v>
      </c>
      <c r="R11" s="39">
        <v>94.084180829999994</v>
      </c>
    </row>
    <row r="12" spans="1:18" ht="25.5" customHeight="1">
      <c r="A12" s="1">
        <v>11</v>
      </c>
      <c r="B12" s="1">
        <v>19</v>
      </c>
      <c r="C12" s="13" t="str">
        <f t="shared" si="0"/>
        <v>Adolescent</v>
      </c>
      <c r="D12" s="43">
        <v>208</v>
      </c>
      <c r="E12" s="43">
        <v>104</v>
      </c>
      <c r="F12" s="1" t="s">
        <v>28</v>
      </c>
      <c r="G12" s="1" t="s">
        <v>38</v>
      </c>
      <c r="H12" s="1" t="s">
        <v>32</v>
      </c>
      <c r="I12" s="1" t="s">
        <v>27</v>
      </c>
      <c r="J12" s="1">
        <v>7</v>
      </c>
      <c r="K12" s="1">
        <v>0</v>
      </c>
      <c r="L12" s="2">
        <v>43396</v>
      </c>
      <c r="M12" s="36">
        <v>0.57520844599999998</v>
      </c>
      <c r="N12" s="39">
        <v>82.378178329999997</v>
      </c>
      <c r="O12" s="39">
        <v>81.160723259999997</v>
      </c>
      <c r="P12" s="39">
        <v>53.463806920000003</v>
      </c>
      <c r="Q12" s="39">
        <v>39.807922300000001</v>
      </c>
      <c r="R12" s="39">
        <v>32.3762185</v>
      </c>
    </row>
    <row r="13" spans="1:18" ht="25.5" customHeight="1">
      <c r="A13" s="1">
        <v>12</v>
      </c>
      <c r="B13" s="1">
        <v>29</v>
      </c>
      <c r="C13" s="13" t="str">
        <f t="shared" si="0"/>
        <v>Adult</v>
      </c>
      <c r="D13" s="43">
        <v>201</v>
      </c>
      <c r="E13" s="43">
        <v>76</v>
      </c>
      <c r="F13" s="1" t="s">
        <v>36</v>
      </c>
      <c r="G13" s="1" t="s">
        <v>34</v>
      </c>
      <c r="H13" s="1" t="s">
        <v>30</v>
      </c>
      <c r="I13" s="1" t="s">
        <v>35</v>
      </c>
      <c r="J13" s="1">
        <v>8</v>
      </c>
      <c r="K13" s="1">
        <v>0</v>
      </c>
      <c r="L13" s="2">
        <v>43379</v>
      </c>
      <c r="M13" s="36">
        <v>0.797065358</v>
      </c>
      <c r="N13" s="39">
        <v>42.916471350000002</v>
      </c>
      <c r="O13" s="39">
        <v>95.683831979999994</v>
      </c>
      <c r="P13" s="39">
        <v>86.199741399999994</v>
      </c>
      <c r="Q13" s="39">
        <v>90.792758309999996</v>
      </c>
      <c r="R13" s="39">
        <v>78.819418709999994</v>
      </c>
    </row>
    <row r="14" spans="1:18" ht="25.5" customHeight="1">
      <c r="A14" s="1">
        <v>13</v>
      </c>
      <c r="B14" s="1">
        <v>23</v>
      </c>
      <c r="C14" s="13" t="str">
        <f t="shared" si="0"/>
        <v>Young Adult</v>
      </c>
      <c r="D14" s="43">
        <v>173</v>
      </c>
      <c r="E14" s="43">
        <v>85</v>
      </c>
      <c r="F14" s="1" t="s">
        <v>36</v>
      </c>
      <c r="G14" s="1" t="s">
        <v>38</v>
      </c>
      <c r="H14" s="1" t="s">
        <v>32</v>
      </c>
      <c r="I14" s="1" t="s">
        <v>37</v>
      </c>
      <c r="J14" s="1">
        <v>11</v>
      </c>
      <c r="K14" s="1">
        <v>0</v>
      </c>
      <c r="L14" s="2">
        <v>44061</v>
      </c>
      <c r="M14" s="36">
        <v>0.69044542799999997</v>
      </c>
      <c r="N14" s="39">
        <v>44.654452630000002</v>
      </c>
      <c r="O14" s="39">
        <v>42.686314629999998</v>
      </c>
      <c r="P14" s="39">
        <v>30.324241610000001</v>
      </c>
      <c r="Q14" s="39">
        <v>64.120183879999999</v>
      </c>
      <c r="R14" s="39">
        <v>50.814430520000002</v>
      </c>
    </row>
    <row r="15" spans="1:18" ht="25.5" customHeight="1">
      <c r="A15" s="1">
        <v>14</v>
      </c>
      <c r="B15" s="1">
        <v>19</v>
      </c>
      <c r="C15" s="13" t="str">
        <f t="shared" si="0"/>
        <v>Adolescent</v>
      </c>
      <c r="D15" s="43">
        <v>199</v>
      </c>
      <c r="E15" s="43">
        <v>95</v>
      </c>
      <c r="F15" s="1" t="s">
        <v>28</v>
      </c>
      <c r="G15" s="1" t="s">
        <v>25</v>
      </c>
      <c r="H15" s="1" t="s">
        <v>32</v>
      </c>
      <c r="I15" s="1" t="s">
        <v>35</v>
      </c>
      <c r="J15" s="1">
        <v>8</v>
      </c>
      <c r="K15" s="1">
        <v>1</v>
      </c>
      <c r="L15" s="2">
        <v>44492</v>
      </c>
      <c r="M15" s="36">
        <v>0.98495719900000001</v>
      </c>
      <c r="N15" s="39">
        <v>55.933047199999997</v>
      </c>
      <c r="O15" s="39">
        <v>34.654738719999997</v>
      </c>
      <c r="P15" s="39">
        <v>53.344942019999998</v>
      </c>
      <c r="Q15" s="39">
        <v>92.618655880000006</v>
      </c>
      <c r="R15" s="39">
        <v>94.707733680000004</v>
      </c>
    </row>
    <row r="16" spans="1:18" ht="25.5" customHeight="1">
      <c r="A16" s="1">
        <v>15</v>
      </c>
      <c r="B16" s="1">
        <v>18</v>
      </c>
      <c r="C16" s="13" t="str">
        <f t="shared" si="0"/>
        <v>Adolescent</v>
      </c>
      <c r="D16" s="43">
        <v>206</v>
      </c>
      <c r="E16" s="43">
        <v>71</v>
      </c>
      <c r="F16" s="1" t="s">
        <v>36</v>
      </c>
      <c r="G16" s="1" t="s">
        <v>29</v>
      </c>
      <c r="H16" s="1" t="s">
        <v>26</v>
      </c>
      <c r="I16" s="1" t="s">
        <v>35</v>
      </c>
      <c r="J16" s="1">
        <v>11</v>
      </c>
      <c r="K16" s="1">
        <v>1</v>
      </c>
      <c r="L16" s="2">
        <v>42774</v>
      </c>
      <c r="M16" s="36">
        <v>0.921059462</v>
      </c>
      <c r="N16" s="39">
        <v>63.916608959999998</v>
      </c>
      <c r="O16" s="39">
        <v>81.878445450000001</v>
      </c>
      <c r="P16" s="39">
        <v>57.871808549999997</v>
      </c>
      <c r="Q16" s="39">
        <v>85.989867919999995</v>
      </c>
      <c r="R16" s="39">
        <v>97.974077159999993</v>
      </c>
    </row>
    <row r="17" spans="1:18" ht="25.5" customHeight="1">
      <c r="A17" s="1">
        <v>16</v>
      </c>
      <c r="B17" s="1">
        <v>29</v>
      </c>
      <c r="C17" s="13" t="str">
        <f t="shared" si="0"/>
        <v>Adult</v>
      </c>
      <c r="D17" s="43">
        <v>192</v>
      </c>
      <c r="E17" s="43">
        <v>70</v>
      </c>
      <c r="F17" s="1" t="s">
        <v>24</v>
      </c>
      <c r="G17" s="1" t="s">
        <v>31</v>
      </c>
      <c r="H17" s="1" t="s">
        <v>32</v>
      </c>
      <c r="I17" s="1" t="s">
        <v>35</v>
      </c>
      <c r="J17" s="1">
        <v>4</v>
      </c>
      <c r="K17" s="1">
        <v>1</v>
      </c>
      <c r="L17" s="2">
        <v>43783</v>
      </c>
      <c r="M17" s="36">
        <v>0.91916435200000002</v>
      </c>
      <c r="N17" s="39">
        <v>73.277834010000007</v>
      </c>
      <c r="O17" s="39">
        <v>70.213117920000002</v>
      </c>
      <c r="P17" s="39">
        <v>67.617692210000001</v>
      </c>
      <c r="Q17" s="39">
        <v>59.764945310000002</v>
      </c>
      <c r="R17" s="39">
        <v>96.098654240000002</v>
      </c>
    </row>
    <row r="18" spans="1:18" ht="25.5" customHeight="1">
      <c r="A18" s="1">
        <v>17</v>
      </c>
      <c r="B18" s="1">
        <v>29</v>
      </c>
      <c r="C18" s="13" t="str">
        <f t="shared" si="0"/>
        <v>Adult</v>
      </c>
      <c r="D18" s="43">
        <v>208</v>
      </c>
      <c r="E18" s="43">
        <v>81</v>
      </c>
      <c r="F18" s="1" t="s">
        <v>24</v>
      </c>
      <c r="G18" s="1" t="s">
        <v>29</v>
      </c>
      <c r="H18" s="1" t="s">
        <v>32</v>
      </c>
      <c r="I18" s="1" t="s">
        <v>33</v>
      </c>
      <c r="J18" s="1">
        <v>3</v>
      </c>
      <c r="K18" s="1">
        <v>0</v>
      </c>
      <c r="L18" s="2">
        <v>41659</v>
      </c>
      <c r="M18" s="36">
        <v>0.73434657999999997</v>
      </c>
      <c r="N18" s="39">
        <v>55.82395477</v>
      </c>
      <c r="O18" s="39">
        <v>88.92801437</v>
      </c>
      <c r="P18" s="39">
        <v>94.389893150000006</v>
      </c>
      <c r="Q18" s="39">
        <v>31.572851579999998</v>
      </c>
      <c r="R18" s="39">
        <v>63.194995169999999</v>
      </c>
    </row>
    <row r="19" spans="1:18" ht="25.5" customHeight="1">
      <c r="A19" s="1">
        <v>18</v>
      </c>
      <c r="B19" s="1">
        <v>34</v>
      </c>
      <c r="C19" s="13" t="str">
        <f t="shared" si="0"/>
        <v>Adult</v>
      </c>
      <c r="D19" s="43">
        <v>184</v>
      </c>
      <c r="E19" s="43">
        <v>74</v>
      </c>
      <c r="F19" s="1" t="s">
        <v>36</v>
      </c>
      <c r="G19" s="1" t="s">
        <v>25</v>
      </c>
      <c r="H19" s="1" t="s">
        <v>32</v>
      </c>
      <c r="I19" s="1" t="s">
        <v>33</v>
      </c>
      <c r="J19" s="1">
        <v>10</v>
      </c>
      <c r="K19" s="1">
        <v>1</v>
      </c>
      <c r="L19" s="2">
        <v>42282</v>
      </c>
      <c r="M19" s="36">
        <v>0.70740975100000003</v>
      </c>
      <c r="N19" s="39">
        <v>62.37743013</v>
      </c>
      <c r="O19" s="39">
        <v>39.784066359999997</v>
      </c>
      <c r="P19" s="39">
        <v>54.244219610000002</v>
      </c>
      <c r="Q19" s="39">
        <v>48.807415159999998</v>
      </c>
      <c r="R19" s="39">
        <v>90.342985569999996</v>
      </c>
    </row>
    <row r="20" spans="1:18" ht="25.5" customHeight="1">
      <c r="A20" s="1">
        <v>19</v>
      </c>
      <c r="B20" s="1">
        <v>27</v>
      </c>
      <c r="C20" s="13" t="str">
        <f t="shared" si="0"/>
        <v>Young Adult</v>
      </c>
      <c r="D20" s="43">
        <v>198</v>
      </c>
      <c r="E20" s="43">
        <v>106</v>
      </c>
      <c r="F20" s="1" t="s">
        <v>36</v>
      </c>
      <c r="G20" s="1" t="s">
        <v>34</v>
      </c>
      <c r="H20" s="1" t="s">
        <v>30</v>
      </c>
      <c r="I20" s="1" t="s">
        <v>35</v>
      </c>
      <c r="J20" s="1">
        <v>9</v>
      </c>
      <c r="K20" s="1">
        <v>0</v>
      </c>
      <c r="L20" s="2">
        <v>43450</v>
      </c>
      <c r="M20" s="36">
        <v>0.63670353599999996</v>
      </c>
      <c r="N20" s="39">
        <v>82.322965670000002</v>
      </c>
      <c r="O20" s="39">
        <v>85.668711830000007</v>
      </c>
      <c r="P20" s="39">
        <v>54.286724130000003</v>
      </c>
      <c r="Q20" s="39">
        <v>67.914395029999994</v>
      </c>
      <c r="R20" s="39">
        <v>89.118457899999996</v>
      </c>
    </row>
    <row r="21" spans="1:18" ht="25.5" customHeight="1">
      <c r="A21" s="1">
        <v>20</v>
      </c>
      <c r="B21" s="1">
        <v>33</v>
      </c>
      <c r="C21" s="13" t="str">
        <f t="shared" si="0"/>
        <v>Adult</v>
      </c>
      <c r="D21" s="43">
        <v>205</v>
      </c>
      <c r="E21" s="43">
        <v>101</v>
      </c>
      <c r="F21" s="1" t="s">
        <v>28</v>
      </c>
      <c r="G21" s="1" t="s">
        <v>29</v>
      </c>
      <c r="H21" s="1" t="s">
        <v>32</v>
      </c>
      <c r="I21" s="1" t="s">
        <v>37</v>
      </c>
      <c r="J21" s="1">
        <v>11</v>
      </c>
      <c r="K21" s="1">
        <v>0</v>
      </c>
      <c r="L21" s="2">
        <v>41607</v>
      </c>
      <c r="M21" s="36">
        <v>0.52818774800000001</v>
      </c>
      <c r="N21" s="39">
        <v>32.567824199999997</v>
      </c>
      <c r="O21" s="39">
        <v>44.113912399999997</v>
      </c>
      <c r="P21" s="39">
        <v>81.625087370000003</v>
      </c>
      <c r="Q21" s="39">
        <v>74.343475389999995</v>
      </c>
      <c r="R21" s="39">
        <v>52.337033130000002</v>
      </c>
    </row>
    <row r="22" spans="1:18" ht="25.5" customHeight="1">
      <c r="A22" s="1">
        <v>21</v>
      </c>
      <c r="B22" s="1">
        <v>32</v>
      </c>
      <c r="C22" s="13" t="str">
        <f t="shared" si="0"/>
        <v>Adult</v>
      </c>
      <c r="D22" s="43">
        <v>182</v>
      </c>
      <c r="E22" s="43">
        <v>78</v>
      </c>
      <c r="F22" s="1" t="s">
        <v>36</v>
      </c>
      <c r="G22" s="1" t="s">
        <v>25</v>
      </c>
      <c r="H22" s="1" t="s">
        <v>26</v>
      </c>
      <c r="I22" s="1" t="s">
        <v>37</v>
      </c>
      <c r="J22" s="1">
        <v>8</v>
      </c>
      <c r="K22" s="1">
        <v>0</v>
      </c>
      <c r="L22" s="2">
        <v>41741</v>
      </c>
      <c r="M22" s="36">
        <v>0.93236118800000001</v>
      </c>
      <c r="N22" s="39">
        <v>47.670586100000001</v>
      </c>
      <c r="O22" s="39">
        <v>41.455916000000002</v>
      </c>
      <c r="P22" s="39">
        <v>61.655255859999997</v>
      </c>
      <c r="Q22" s="39">
        <v>48.052137979999998</v>
      </c>
      <c r="R22" s="39">
        <v>88.024083189999999</v>
      </c>
    </row>
    <row r="23" spans="1:18" ht="25.5" customHeight="1">
      <c r="A23" s="1">
        <v>22</v>
      </c>
      <c r="B23" s="1">
        <v>32</v>
      </c>
      <c r="C23" s="13" t="str">
        <f t="shared" si="0"/>
        <v>Adult</v>
      </c>
      <c r="D23" s="43">
        <v>201</v>
      </c>
      <c r="E23" s="43">
        <v>104</v>
      </c>
      <c r="F23" s="1" t="s">
        <v>36</v>
      </c>
      <c r="G23" s="1" t="s">
        <v>34</v>
      </c>
      <c r="H23" s="1" t="s">
        <v>32</v>
      </c>
      <c r="I23" s="1" t="s">
        <v>33</v>
      </c>
      <c r="J23" s="1">
        <v>10</v>
      </c>
      <c r="K23" s="1">
        <v>1</v>
      </c>
      <c r="L23" s="2">
        <v>42221</v>
      </c>
      <c r="M23" s="36">
        <v>0.90645050500000002</v>
      </c>
      <c r="N23" s="39">
        <v>79.934471009999996</v>
      </c>
      <c r="O23" s="39">
        <v>41.498605859999998</v>
      </c>
      <c r="P23" s="39">
        <v>45.722337609999997</v>
      </c>
      <c r="Q23" s="39">
        <v>39.754925190000002</v>
      </c>
      <c r="R23" s="39">
        <v>32.590534429999998</v>
      </c>
    </row>
    <row r="24" spans="1:18" ht="25.5" customHeight="1">
      <c r="A24" s="1">
        <v>23</v>
      </c>
      <c r="B24" s="1">
        <v>29</v>
      </c>
      <c r="C24" s="13" t="str">
        <f t="shared" si="0"/>
        <v>Adult</v>
      </c>
      <c r="D24" s="43">
        <v>176</v>
      </c>
      <c r="E24" s="43">
        <v>88</v>
      </c>
      <c r="F24" s="1" t="s">
        <v>36</v>
      </c>
      <c r="G24" s="1" t="s">
        <v>31</v>
      </c>
      <c r="H24" s="1" t="s">
        <v>30</v>
      </c>
      <c r="I24" s="1" t="s">
        <v>33</v>
      </c>
      <c r="J24" s="1">
        <v>5</v>
      </c>
      <c r="K24" s="1">
        <v>1</v>
      </c>
      <c r="L24" s="2">
        <v>42322</v>
      </c>
      <c r="M24" s="36">
        <v>0.999858837</v>
      </c>
      <c r="N24" s="39">
        <v>92.664478639999999</v>
      </c>
      <c r="O24" s="39">
        <v>87.020230420000004</v>
      </c>
      <c r="P24" s="39">
        <v>61.670766129999997</v>
      </c>
      <c r="Q24" s="39">
        <v>88.445116580000004</v>
      </c>
      <c r="R24" s="39">
        <v>71.73889149</v>
      </c>
    </row>
    <row r="25" spans="1:18" ht="25.5" customHeight="1">
      <c r="A25" s="1">
        <v>24</v>
      </c>
      <c r="B25" s="1">
        <v>20</v>
      </c>
      <c r="C25" s="13" t="str">
        <f t="shared" si="0"/>
        <v>Adolescent</v>
      </c>
      <c r="D25" s="43">
        <v>191</v>
      </c>
      <c r="E25" s="43">
        <v>85</v>
      </c>
      <c r="F25" s="1" t="s">
        <v>36</v>
      </c>
      <c r="G25" s="1" t="s">
        <v>29</v>
      </c>
      <c r="H25" s="1" t="s">
        <v>26</v>
      </c>
      <c r="I25" s="1" t="s">
        <v>37</v>
      </c>
      <c r="J25" s="1">
        <v>5</v>
      </c>
      <c r="K25" s="1">
        <v>0</v>
      </c>
      <c r="L25" s="2">
        <v>42812</v>
      </c>
      <c r="M25" s="36">
        <v>0.99831841899999996</v>
      </c>
      <c r="N25" s="39">
        <v>65.817420949999999</v>
      </c>
      <c r="O25" s="39">
        <v>76.563805450000004</v>
      </c>
      <c r="P25" s="39">
        <v>39.859991430000001</v>
      </c>
      <c r="Q25" s="39">
        <v>98.908152650000005</v>
      </c>
      <c r="R25" s="39">
        <v>46.100618609999998</v>
      </c>
    </row>
    <row r="26" spans="1:18" ht="25.5" customHeight="1">
      <c r="A26" s="1">
        <v>25</v>
      </c>
      <c r="B26" s="1">
        <v>22</v>
      </c>
      <c r="C26" s="13" t="str">
        <f t="shared" si="0"/>
        <v>Adolescent</v>
      </c>
      <c r="D26" s="43">
        <v>197</v>
      </c>
      <c r="E26" s="43">
        <v>72</v>
      </c>
      <c r="F26" s="1" t="s">
        <v>24</v>
      </c>
      <c r="G26" s="1" t="s">
        <v>34</v>
      </c>
      <c r="H26" s="1" t="s">
        <v>30</v>
      </c>
      <c r="I26" s="1" t="s">
        <v>35</v>
      </c>
      <c r="J26" s="1">
        <v>2</v>
      </c>
      <c r="K26" s="1">
        <v>1</v>
      </c>
      <c r="L26" s="2">
        <v>42650</v>
      </c>
      <c r="M26" s="36">
        <v>0.77771585300000001</v>
      </c>
      <c r="N26" s="39">
        <v>67.247943969999994</v>
      </c>
      <c r="O26" s="39">
        <v>66.614579730000003</v>
      </c>
      <c r="P26" s="39">
        <v>42.347089060000002</v>
      </c>
      <c r="Q26" s="39">
        <v>66.798312760000002</v>
      </c>
      <c r="R26" s="39">
        <v>38.439681999999998</v>
      </c>
    </row>
    <row r="27" spans="1:18" ht="25.5" customHeight="1">
      <c r="A27" s="1">
        <v>26</v>
      </c>
      <c r="B27" s="1">
        <v>24</v>
      </c>
      <c r="C27" s="13" t="str">
        <f t="shared" si="0"/>
        <v>Young Adult</v>
      </c>
      <c r="D27" s="43">
        <v>171</v>
      </c>
      <c r="E27" s="43">
        <v>89</v>
      </c>
      <c r="F27" s="1" t="s">
        <v>28</v>
      </c>
      <c r="G27" s="1" t="s">
        <v>29</v>
      </c>
      <c r="H27" s="1" t="s">
        <v>32</v>
      </c>
      <c r="I27" s="1" t="s">
        <v>37</v>
      </c>
      <c r="J27" s="1">
        <v>9</v>
      </c>
      <c r="K27" s="1">
        <v>0</v>
      </c>
      <c r="L27" s="2">
        <v>43252</v>
      </c>
      <c r="M27" s="36">
        <v>0.88449370800000005</v>
      </c>
      <c r="N27" s="39">
        <v>37.502040790000002</v>
      </c>
      <c r="O27" s="39">
        <v>55.118133890000003</v>
      </c>
      <c r="P27" s="39">
        <v>64.885744090000003</v>
      </c>
      <c r="Q27" s="39">
        <v>42.017550010000001</v>
      </c>
      <c r="R27" s="39">
        <v>35.386724110000003</v>
      </c>
    </row>
    <row r="28" spans="1:18" ht="25.5" customHeight="1">
      <c r="A28" s="1">
        <v>27</v>
      </c>
      <c r="B28" s="1">
        <v>26</v>
      </c>
      <c r="C28" s="13" t="str">
        <f t="shared" si="0"/>
        <v>Young Adult</v>
      </c>
      <c r="D28" s="43">
        <v>175</v>
      </c>
      <c r="E28" s="43">
        <v>93</v>
      </c>
      <c r="F28" s="1" t="s">
        <v>28</v>
      </c>
      <c r="G28" s="1" t="s">
        <v>31</v>
      </c>
      <c r="H28" s="1" t="s">
        <v>30</v>
      </c>
      <c r="I28" s="1" t="s">
        <v>27</v>
      </c>
      <c r="J28" s="1">
        <v>4</v>
      </c>
      <c r="K28" s="1">
        <v>0</v>
      </c>
      <c r="L28" s="2">
        <v>44092</v>
      </c>
      <c r="M28" s="36">
        <v>0.97238286500000004</v>
      </c>
      <c r="N28" s="39">
        <v>61.318865680000002</v>
      </c>
      <c r="O28" s="39">
        <v>91.404037860000003</v>
      </c>
      <c r="P28" s="39">
        <v>59.324781469999998</v>
      </c>
      <c r="Q28" s="39">
        <v>49.061512860000001</v>
      </c>
      <c r="R28" s="39">
        <v>78.740214309999999</v>
      </c>
    </row>
    <row r="29" spans="1:18" ht="25.5" customHeight="1">
      <c r="A29" s="1">
        <v>28</v>
      </c>
      <c r="B29" s="1">
        <v>24</v>
      </c>
      <c r="C29" s="13" t="str">
        <f t="shared" si="0"/>
        <v>Young Adult</v>
      </c>
      <c r="D29" s="43">
        <v>197</v>
      </c>
      <c r="E29" s="43">
        <v>102</v>
      </c>
      <c r="F29" s="1" t="s">
        <v>28</v>
      </c>
      <c r="G29" s="1" t="s">
        <v>25</v>
      </c>
      <c r="H29" s="1" t="s">
        <v>26</v>
      </c>
      <c r="I29" s="1" t="s">
        <v>33</v>
      </c>
      <c r="J29" s="1">
        <v>8</v>
      </c>
      <c r="K29" s="1">
        <v>0</v>
      </c>
      <c r="L29" s="2">
        <v>42024</v>
      </c>
      <c r="M29" s="36">
        <v>0.92482369499999995</v>
      </c>
      <c r="N29" s="39">
        <v>67.283208650000006</v>
      </c>
      <c r="O29" s="39">
        <v>57.471157519999998</v>
      </c>
      <c r="P29" s="39">
        <v>94.039213070000002</v>
      </c>
      <c r="Q29" s="39">
        <v>31.287347359999998</v>
      </c>
      <c r="R29" s="39">
        <v>53.791247460000001</v>
      </c>
    </row>
    <row r="30" spans="1:18" ht="25.5" customHeight="1">
      <c r="A30" s="1">
        <v>29</v>
      </c>
      <c r="B30" s="1">
        <v>21</v>
      </c>
      <c r="C30" s="13" t="str">
        <f t="shared" si="0"/>
        <v>Adolescent</v>
      </c>
      <c r="D30" s="43">
        <v>197</v>
      </c>
      <c r="E30" s="43">
        <v>93</v>
      </c>
      <c r="F30" s="1" t="s">
        <v>36</v>
      </c>
      <c r="G30" s="1" t="s">
        <v>38</v>
      </c>
      <c r="H30" s="1" t="s">
        <v>32</v>
      </c>
      <c r="I30" s="1" t="s">
        <v>35</v>
      </c>
      <c r="J30" s="1">
        <v>3</v>
      </c>
      <c r="K30" s="1">
        <v>0</v>
      </c>
      <c r="L30" s="2">
        <v>42397</v>
      </c>
      <c r="M30" s="36">
        <v>0.62367405099999995</v>
      </c>
      <c r="N30" s="39">
        <v>46.972935249999999</v>
      </c>
      <c r="O30" s="39">
        <v>87.161960759999999</v>
      </c>
      <c r="P30" s="39">
        <v>55.367572940000002</v>
      </c>
      <c r="Q30" s="39">
        <v>94.000916459999999</v>
      </c>
      <c r="R30" s="39">
        <v>80.733674010000001</v>
      </c>
    </row>
    <row r="31" spans="1:18" ht="25.5" customHeight="1">
      <c r="A31" s="1">
        <v>30</v>
      </c>
      <c r="B31" s="1">
        <v>31</v>
      </c>
      <c r="C31" s="13" t="str">
        <f t="shared" si="0"/>
        <v>Adult</v>
      </c>
      <c r="D31" s="43">
        <v>189</v>
      </c>
      <c r="E31" s="43">
        <v>80</v>
      </c>
      <c r="F31" s="1" t="s">
        <v>28</v>
      </c>
      <c r="G31" s="1" t="s">
        <v>29</v>
      </c>
      <c r="H31" s="1" t="s">
        <v>26</v>
      </c>
      <c r="I31" s="1" t="s">
        <v>35</v>
      </c>
      <c r="J31" s="1">
        <v>3</v>
      </c>
      <c r="K31" s="1">
        <v>0</v>
      </c>
      <c r="L31" s="2">
        <v>42463</v>
      </c>
      <c r="M31" s="36">
        <v>0.72527206799999999</v>
      </c>
      <c r="N31" s="39">
        <v>48.847026169999999</v>
      </c>
      <c r="O31" s="39">
        <v>60.739443600000001</v>
      </c>
      <c r="P31" s="39">
        <v>70.641184519999996</v>
      </c>
      <c r="Q31" s="39">
        <v>38.242575799999997</v>
      </c>
      <c r="R31" s="39">
        <v>34.574943859999998</v>
      </c>
    </row>
    <row r="32" spans="1:18" ht="25.5" customHeight="1">
      <c r="A32" s="1">
        <v>31</v>
      </c>
      <c r="B32" s="1">
        <v>26</v>
      </c>
      <c r="C32" s="13" t="str">
        <f t="shared" si="0"/>
        <v>Young Adult</v>
      </c>
      <c r="D32" s="43">
        <v>199</v>
      </c>
      <c r="E32" s="43">
        <v>77</v>
      </c>
      <c r="F32" s="1" t="s">
        <v>24</v>
      </c>
      <c r="G32" s="1" t="s">
        <v>34</v>
      </c>
      <c r="H32" s="1" t="s">
        <v>30</v>
      </c>
      <c r="I32" s="1" t="s">
        <v>35</v>
      </c>
      <c r="J32" s="1">
        <v>8</v>
      </c>
      <c r="K32" s="1">
        <v>0</v>
      </c>
      <c r="L32" s="2">
        <v>42953</v>
      </c>
      <c r="M32" s="36">
        <v>0.56457970800000001</v>
      </c>
      <c r="N32" s="39">
        <v>56.409891420000001</v>
      </c>
      <c r="O32" s="39">
        <v>56.38611006</v>
      </c>
      <c r="P32" s="39">
        <v>74.258500150000003</v>
      </c>
      <c r="Q32" s="39">
        <v>70.356153289999995</v>
      </c>
      <c r="R32" s="39">
        <v>52.070323649999999</v>
      </c>
    </row>
    <row r="33" spans="1:18" ht="25.5" customHeight="1">
      <c r="A33" s="1">
        <v>32</v>
      </c>
      <c r="B33" s="1">
        <v>19</v>
      </c>
      <c r="C33" s="13" t="str">
        <f t="shared" si="0"/>
        <v>Adolescent</v>
      </c>
      <c r="D33" s="43">
        <v>180</v>
      </c>
      <c r="E33" s="43">
        <v>105</v>
      </c>
      <c r="F33" s="1" t="s">
        <v>36</v>
      </c>
      <c r="G33" s="1" t="s">
        <v>29</v>
      </c>
      <c r="H33" s="1" t="s">
        <v>26</v>
      </c>
      <c r="I33" s="1" t="s">
        <v>35</v>
      </c>
      <c r="J33" s="1">
        <v>7</v>
      </c>
      <c r="K33" s="1">
        <v>0</v>
      </c>
      <c r="L33" s="2">
        <v>43527</v>
      </c>
      <c r="M33" s="36">
        <v>0.97702551400000004</v>
      </c>
      <c r="N33" s="39">
        <v>31.40498384</v>
      </c>
      <c r="O33" s="39">
        <v>62.387585000000001</v>
      </c>
      <c r="P33" s="39">
        <v>30.916611960000001</v>
      </c>
      <c r="Q33" s="39">
        <v>49.183865449999999</v>
      </c>
      <c r="R33" s="39">
        <v>67.764390469999995</v>
      </c>
    </row>
    <row r="34" spans="1:18" ht="25.5" customHeight="1">
      <c r="A34" s="1">
        <v>33</v>
      </c>
      <c r="B34" s="1">
        <v>32</v>
      </c>
      <c r="C34" s="13" t="str">
        <f t="shared" si="0"/>
        <v>Adult</v>
      </c>
      <c r="D34" s="43">
        <v>197</v>
      </c>
      <c r="E34" s="43">
        <v>107</v>
      </c>
      <c r="F34" s="1" t="s">
        <v>36</v>
      </c>
      <c r="G34" s="1" t="s">
        <v>29</v>
      </c>
      <c r="H34" s="1" t="s">
        <v>26</v>
      </c>
      <c r="I34" s="1" t="s">
        <v>27</v>
      </c>
      <c r="J34" s="1">
        <v>4</v>
      </c>
      <c r="K34" s="1">
        <v>0</v>
      </c>
      <c r="L34" s="2">
        <v>44003</v>
      </c>
      <c r="M34" s="36">
        <v>0.80308731700000002</v>
      </c>
      <c r="N34" s="39">
        <v>52.545541589999999</v>
      </c>
      <c r="O34" s="39">
        <v>51.096451190000003</v>
      </c>
      <c r="P34" s="39">
        <v>76.44761604</v>
      </c>
      <c r="Q34" s="39">
        <v>68.792460180000006</v>
      </c>
      <c r="R34" s="39">
        <v>85.350621540000006</v>
      </c>
    </row>
    <row r="35" spans="1:18" ht="25.5" customHeight="1">
      <c r="A35" s="1">
        <v>34</v>
      </c>
      <c r="B35" s="1">
        <v>24</v>
      </c>
      <c r="C35" s="13" t="str">
        <f t="shared" si="0"/>
        <v>Young Adult</v>
      </c>
      <c r="D35" s="43">
        <v>194</v>
      </c>
      <c r="E35" s="43">
        <v>109</v>
      </c>
      <c r="F35" s="1" t="s">
        <v>28</v>
      </c>
      <c r="G35" s="1" t="s">
        <v>25</v>
      </c>
      <c r="H35" s="1" t="s">
        <v>30</v>
      </c>
      <c r="I35" s="1" t="s">
        <v>37</v>
      </c>
      <c r="J35" s="1">
        <v>10</v>
      </c>
      <c r="K35" s="1">
        <v>0</v>
      </c>
      <c r="L35" s="2">
        <v>43565</v>
      </c>
      <c r="M35" s="36">
        <v>0.61432140300000004</v>
      </c>
      <c r="N35" s="39">
        <v>44.80136049</v>
      </c>
      <c r="O35" s="39">
        <v>82.332656610000001</v>
      </c>
      <c r="P35" s="39">
        <v>42.462517679999998</v>
      </c>
      <c r="Q35" s="39">
        <v>75.599427180000006</v>
      </c>
      <c r="R35" s="39">
        <v>52.312675210000002</v>
      </c>
    </row>
    <row r="36" spans="1:18" ht="25.5" customHeight="1">
      <c r="A36" s="1">
        <v>35</v>
      </c>
      <c r="B36" s="1">
        <v>29</v>
      </c>
      <c r="C36" s="13" t="str">
        <f t="shared" si="0"/>
        <v>Adult</v>
      </c>
      <c r="D36" s="43">
        <v>208</v>
      </c>
      <c r="E36" s="43">
        <v>89</v>
      </c>
      <c r="F36" s="1" t="s">
        <v>24</v>
      </c>
      <c r="G36" s="1" t="s">
        <v>38</v>
      </c>
      <c r="H36" s="1" t="s">
        <v>26</v>
      </c>
      <c r="I36" s="1" t="s">
        <v>27</v>
      </c>
      <c r="J36" s="1">
        <v>11</v>
      </c>
      <c r="K36" s="1">
        <v>0</v>
      </c>
      <c r="L36" s="2">
        <v>43964</v>
      </c>
      <c r="M36" s="36">
        <v>0.83585034199999997</v>
      </c>
      <c r="N36" s="39">
        <v>52.924814650000002</v>
      </c>
      <c r="O36" s="39">
        <v>65.190427310000004</v>
      </c>
      <c r="P36" s="39">
        <v>97.274922219999993</v>
      </c>
      <c r="Q36" s="39">
        <v>88.081926260000003</v>
      </c>
      <c r="R36" s="39">
        <v>73.81239635</v>
      </c>
    </row>
    <row r="37" spans="1:18" ht="25.5" customHeight="1">
      <c r="A37" s="1">
        <v>36</v>
      </c>
      <c r="B37" s="1">
        <v>25</v>
      </c>
      <c r="C37" s="13" t="str">
        <f t="shared" si="0"/>
        <v>Young Adult</v>
      </c>
      <c r="D37" s="43">
        <v>202</v>
      </c>
      <c r="E37" s="43">
        <v>104</v>
      </c>
      <c r="F37" s="1" t="s">
        <v>36</v>
      </c>
      <c r="G37" s="1" t="s">
        <v>29</v>
      </c>
      <c r="H37" s="1" t="s">
        <v>32</v>
      </c>
      <c r="I37" s="1" t="s">
        <v>33</v>
      </c>
      <c r="J37" s="1">
        <v>7</v>
      </c>
      <c r="K37" s="1">
        <v>0</v>
      </c>
      <c r="L37" s="2">
        <v>41758</v>
      </c>
      <c r="M37" s="36">
        <v>0.80906412000000005</v>
      </c>
      <c r="N37" s="39">
        <v>38.38334923</v>
      </c>
      <c r="O37" s="39">
        <v>46.254888659999999</v>
      </c>
      <c r="P37" s="39">
        <v>40.406390940000001</v>
      </c>
      <c r="Q37" s="39">
        <v>44.449489020000001</v>
      </c>
      <c r="R37" s="39">
        <v>92.018442379999996</v>
      </c>
    </row>
    <row r="38" spans="1:18" ht="25.5" customHeight="1">
      <c r="A38" s="1">
        <v>37</v>
      </c>
      <c r="B38" s="1">
        <v>32</v>
      </c>
      <c r="C38" s="13" t="str">
        <f t="shared" si="0"/>
        <v>Adult</v>
      </c>
      <c r="D38" s="43">
        <v>170</v>
      </c>
      <c r="E38" s="43">
        <v>94</v>
      </c>
      <c r="F38" s="1" t="s">
        <v>28</v>
      </c>
      <c r="G38" s="1" t="s">
        <v>34</v>
      </c>
      <c r="H38" s="1" t="s">
        <v>32</v>
      </c>
      <c r="I38" s="1" t="s">
        <v>35</v>
      </c>
      <c r="J38" s="1">
        <v>11</v>
      </c>
      <c r="K38" s="1">
        <v>0</v>
      </c>
      <c r="L38" s="2">
        <v>42073</v>
      </c>
      <c r="M38" s="36">
        <v>0.679081359</v>
      </c>
      <c r="N38" s="39">
        <v>92.336909649999996</v>
      </c>
      <c r="O38" s="39">
        <v>92.970220130000001</v>
      </c>
      <c r="P38" s="39">
        <v>59.023688659999998</v>
      </c>
      <c r="Q38" s="39">
        <v>30.769708009999999</v>
      </c>
      <c r="R38" s="39">
        <v>73.110423170000004</v>
      </c>
    </row>
    <row r="39" spans="1:18" ht="25.5" customHeight="1">
      <c r="A39" s="1">
        <v>38</v>
      </c>
      <c r="B39" s="1">
        <v>20</v>
      </c>
      <c r="C39" s="13" t="str">
        <f t="shared" si="0"/>
        <v>Adolescent</v>
      </c>
      <c r="D39" s="43">
        <v>196</v>
      </c>
      <c r="E39" s="43">
        <v>104</v>
      </c>
      <c r="F39" s="1" t="s">
        <v>36</v>
      </c>
      <c r="G39" s="1" t="s">
        <v>38</v>
      </c>
      <c r="H39" s="1" t="s">
        <v>26</v>
      </c>
      <c r="I39" s="1" t="s">
        <v>33</v>
      </c>
      <c r="J39" s="1">
        <v>11</v>
      </c>
      <c r="K39" s="1">
        <v>0</v>
      </c>
      <c r="L39" s="2">
        <v>42783</v>
      </c>
      <c r="M39" s="36">
        <v>0.55677879600000002</v>
      </c>
      <c r="N39" s="39">
        <v>71.551471750000005</v>
      </c>
      <c r="O39" s="39">
        <v>56.8723855</v>
      </c>
      <c r="P39" s="39">
        <v>35.974476770000003</v>
      </c>
      <c r="Q39" s="39">
        <v>39.581994100000003</v>
      </c>
      <c r="R39" s="39">
        <v>46.30716323</v>
      </c>
    </row>
    <row r="40" spans="1:18" ht="25.5" customHeight="1">
      <c r="A40" s="1">
        <v>39</v>
      </c>
      <c r="B40" s="1">
        <v>31</v>
      </c>
      <c r="C40" s="13" t="str">
        <f t="shared" si="0"/>
        <v>Adult</v>
      </c>
      <c r="D40" s="43">
        <v>182</v>
      </c>
      <c r="E40" s="43">
        <v>94</v>
      </c>
      <c r="F40" s="1" t="s">
        <v>24</v>
      </c>
      <c r="G40" s="1" t="s">
        <v>38</v>
      </c>
      <c r="H40" s="1" t="s">
        <v>26</v>
      </c>
      <c r="I40" s="1" t="s">
        <v>35</v>
      </c>
      <c r="J40" s="1">
        <v>7</v>
      </c>
      <c r="K40" s="1">
        <v>0</v>
      </c>
      <c r="L40" s="2">
        <v>43100</v>
      </c>
      <c r="M40" s="36">
        <v>0.83578659799999999</v>
      </c>
      <c r="N40" s="39">
        <v>77.537162339999995</v>
      </c>
      <c r="O40" s="39">
        <v>68.048700280000006</v>
      </c>
      <c r="P40" s="39">
        <v>99.781197629999994</v>
      </c>
      <c r="Q40" s="39">
        <v>93.001304930000003</v>
      </c>
      <c r="R40" s="39">
        <v>31.708054709999999</v>
      </c>
    </row>
    <row r="41" spans="1:18" ht="25.5" customHeight="1">
      <c r="A41" s="1">
        <v>40</v>
      </c>
      <c r="B41" s="1">
        <v>34</v>
      </c>
      <c r="C41" s="13" t="str">
        <f t="shared" si="0"/>
        <v>Adult</v>
      </c>
      <c r="D41" s="43">
        <v>172</v>
      </c>
      <c r="E41" s="43">
        <v>98</v>
      </c>
      <c r="F41" s="1" t="s">
        <v>28</v>
      </c>
      <c r="G41" s="1" t="s">
        <v>25</v>
      </c>
      <c r="H41" s="1" t="s">
        <v>26</v>
      </c>
      <c r="I41" s="1" t="s">
        <v>27</v>
      </c>
      <c r="J41" s="1">
        <v>2</v>
      </c>
      <c r="K41" s="1">
        <v>0</v>
      </c>
      <c r="L41" s="2">
        <v>42392</v>
      </c>
      <c r="M41" s="36">
        <v>0.76015385000000002</v>
      </c>
      <c r="N41" s="39">
        <v>85.241986699999998</v>
      </c>
      <c r="O41" s="39">
        <v>93.453047769999998</v>
      </c>
      <c r="P41" s="39">
        <v>65.153650720000002</v>
      </c>
      <c r="Q41" s="39">
        <v>91.172305429999994</v>
      </c>
      <c r="R41" s="39">
        <v>90.906921170000004</v>
      </c>
    </row>
    <row r="42" spans="1:18" ht="25.5" customHeight="1">
      <c r="A42" s="1">
        <v>41</v>
      </c>
      <c r="B42" s="1">
        <v>21</v>
      </c>
      <c r="C42" s="13" t="str">
        <f t="shared" si="0"/>
        <v>Adolescent</v>
      </c>
      <c r="D42" s="43">
        <v>208</v>
      </c>
      <c r="E42" s="43">
        <v>87</v>
      </c>
      <c r="F42" s="1" t="s">
        <v>36</v>
      </c>
      <c r="G42" s="1" t="s">
        <v>29</v>
      </c>
      <c r="H42" s="1" t="s">
        <v>26</v>
      </c>
      <c r="I42" s="1" t="s">
        <v>35</v>
      </c>
      <c r="J42" s="1">
        <v>5</v>
      </c>
      <c r="K42" s="1">
        <v>0</v>
      </c>
      <c r="L42" s="2">
        <v>42497</v>
      </c>
      <c r="M42" s="36">
        <v>0.88615919600000004</v>
      </c>
      <c r="N42" s="39">
        <v>64.890953929999995</v>
      </c>
      <c r="O42" s="39">
        <v>73.696659710000006</v>
      </c>
      <c r="P42" s="39">
        <v>71.676951209999999</v>
      </c>
      <c r="Q42" s="39">
        <v>71.818917150000004</v>
      </c>
      <c r="R42" s="39">
        <v>31.488858759999999</v>
      </c>
    </row>
    <row r="43" spans="1:18" ht="25.5" customHeight="1">
      <c r="A43" s="1">
        <v>42</v>
      </c>
      <c r="B43" s="1">
        <v>25</v>
      </c>
      <c r="C43" s="13" t="str">
        <f t="shared" si="0"/>
        <v>Young Adult</v>
      </c>
      <c r="D43" s="43">
        <v>175</v>
      </c>
      <c r="E43" s="43">
        <v>87</v>
      </c>
      <c r="F43" s="1" t="s">
        <v>28</v>
      </c>
      <c r="G43" s="1" t="s">
        <v>31</v>
      </c>
      <c r="H43" s="1" t="s">
        <v>32</v>
      </c>
      <c r="I43" s="1" t="s">
        <v>33</v>
      </c>
      <c r="J43" s="1">
        <v>11</v>
      </c>
      <c r="K43" s="1">
        <v>1</v>
      </c>
      <c r="L43" s="2">
        <v>42502</v>
      </c>
      <c r="M43" s="36">
        <v>0.76008175099999997</v>
      </c>
      <c r="N43" s="39">
        <v>36.084420170000001</v>
      </c>
      <c r="O43" s="39">
        <v>38.182862849999999</v>
      </c>
      <c r="P43" s="39">
        <v>34.695353420000004</v>
      </c>
      <c r="Q43" s="39">
        <v>72.036180229999999</v>
      </c>
      <c r="R43" s="39">
        <v>91.229117090000003</v>
      </c>
    </row>
    <row r="44" spans="1:18" ht="25.5" customHeight="1">
      <c r="A44" s="1">
        <v>43</v>
      </c>
      <c r="B44" s="1">
        <v>21</v>
      </c>
      <c r="C44" s="13" t="str">
        <f t="shared" si="0"/>
        <v>Adolescent</v>
      </c>
      <c r="D44" s="43">
        <v>177</v>
      </c>
      <c r="E44" s="43">
        <v>71</v>
      </c>
      <c r="F44" s="1" t="s">
        <v>24</v>
      </c>
      <c r="G44" s="1" t="s">
        <v>25</v>
      </c>
      <c r="H44" s="1" t="s">
        <v>26</v>
      </c>
      <c r="I44" s="1" t="s">
        <v>37</v>
      </c>
      <c r="J44" s="1">
        <v>7</v>
      </c>
      <c r="K44" s="1">
        <v>0</v>
      </c>
      <c r="L44" s="2">
        <v>42709</v>
      </c>
      <c r="M44" s="36">
        <v>0.92609074999999996</v>
      </c>
      <c r="N44" s="39">
        <v>67.597457930000004</v>
      </c>
      <c r="O44" s="39">
        <v>95.78824865</v>
      </c>
      <c r="P44" s="39">
        <v>82.497232929999996</v>
      </c>
      <c r="Q44" s="39">
        <v>76.55256722</v>
      </c>
      <c r="R44" s="39">
        <v>67.025599380000003</v>
      </c>
    </row>
    <row r="45" spans="1:18" ht="25.5" customHeight="1">
      <c r="A45" s="1">
        <v>44</v>
      </c>
      <c r="B45" s="1">
        <v>19</v>
      </c>
      <c r="C45" s="13" t="str">
        <f t="shared" si="0"/>
        <v>Adolescent</v>
      </c>
      <c r="D45" s="43">
        <v>196</v>
      </c>
      <c r="E45" s="43">
        <v>104</v>
      </c>
      <c r="F45" s="1" t="s">
        <v>24</v>
      </c>
      <c r="G45" s="1" t="s">
        <v>34</v>
      </c>
      <c r="H45" s="1" t="s">
        <v>26</v>
      </c>
      <c r="I45" s="1" t="s">
        <v>33</v>
      </c>
      <c r="J45" s="1">
        <v>7</v>
      </c>
      <c r="K45" s="1">
        <v>0</v>
      </c>
      <c r="L45" s="2">
        <v>41702</v>
      </c>
      <c r="M45" s="36">
        <v>0.77595341900000003</v>
      </c>
      <c r="N45" s="39">
        <v>71.078878259999996</v>
      </c>
      <c r="O45" s="39">
        <v>73.939563710000002</v>
      </c>
      <c r="P45" s="39">
        <v>44.693391519999999</v>
      </c>
      <c r="Q45" s="39">
        <v>42.275989500000001</v>
      </c>
      <c r="R45" s="39">
        <v>95.734738899999996</v>
      </c>
    </row>
    <row r="46" spans="1:18" ht="25.5" customHeight="1">
      <c r="A46" s="1">
        <v>45</v>
      </c>
      <c r="B46" s="1">
        <v>23</v>
      </c>
      <c r="C46" s="13" t="str">
        <f t="shared" si="0"/>
        <v>Young Adult</v>
      </c>
      <c r="D46" s="43">
        <v>178</v>
      </c>
      <c r="E46" s="43">
        <v>85</v>
      </c>
      <c r="F46" s="1" t="s">
        <v>36</v>
      </c>
      <c r="G46" s="1" t="s">
        <v>38</v>
      </c>
      <c r="H46" s="1" t="s">
        <v>26</v>
      </c>
      <c r="I46" s="1" t="s">
        <v>35</v>
      </c>
      <c r="J46" s="1">
        <v>6</v>
      </c>
      <c r="K46" s="1">
        <v>1</v>
      </c>
      <c r="L46" s="2">
        <v>43674</v>
      </c>
      <c r="M46" s="36">
        <v>0.78046898600000003</v>
      </c>
      <c r="N46" s="39">
        <v>82.180763189999993</v>
      </c>
      <c r="O46" s="39">
        <v>53.443393030000003</v>
      </c>
      <c r="P46" s="39">
        <v>92.863800260000005</v>
      </c>
      <c r="Q46" s="39">
        <v>94.008836209999998</v>
      </c>
      <c r="R46" s="39">
        <v>85.914826500000004</v>
      </c>
    </row>
    <row r="47" spans="1:18" ht="25.5" customHeight="1">
      <c r="A47" s="1">
        <v>46</v>
      </c>
      <c r="B47" s="1">
        <v>27</v>
      </c>
      <c r="C47" s="13" t="str">
        <f t="shared" si="0"/>
        <v>Young Adult</v>
      </c>
      <c r="D47" s="43">
        <v>206</v>
      </c>
      <c r="E47" s="43">
        <v>105</v>
      </c>
      <c r="F47" s="1" t="s">
        <v>36</v>
      </c>
      <c r="G47" s="1" t="s">
        <v>29</v>
      </c>
      <c r="H47" s="1" t="s">
        <v>26</v>
      </c>
      <c r="I47" s="1" t="s">
        <v>35</v>
      </c>
      <c r="J47" s="1">
        <v>2</v>
      </c>
      <c r="K47" s="1">
        <v>0</v>
      </c>
      <c r="L47" s="2">
        <v>42253</v>
      </c>
      <c r="M47" s="36">
        <v>0.93832680099999999</v>
      </c>
      <c r="N47" s="39">
        <v>60.216168240000002</v>
      </c>
      <c r="O47" s="39">
        <v>39.749045090000003</v>
      </c>
      <c r="P47" s="39">
        <v>44.359774829999999</v>
      </c>
      <c r="Q47" s="39">
        <v>59.313936740000003</v>
      </c>
      <c r="R47" s="39">
        <v>99.855387739999998</v>
      </c>
    </row>
    <row r="48" spans="1:18" ht="25.5" customHeight="1">
      <c r="A48" s="1">
        <v>47</v>
      </c>
      <c r="B48" s="1">
        <v>21</v>
      </c>
      <c r="C48" s="13" t="str">
        <f t="shared" si="0"/>
        <v>Adolescent</v>
      </c>
      <c r="D48" s="43">
        <v>202</v>
      </c>
      <c r="E48" s="43">
        <v>102</v>
      </c>
      <c r="F48" s="1" t="s">
        <v>24</v>
      </c>
      <c r="G48" s="1" t="s">
        <v>31</v>
      </c>
      <c r="H48" s="1" t="s">
        <v>26</v>
      </c>
      <c r="I48" s="1" t="s">
        <v>27</v>
      </c>
      <c r="J48" s="1">
        <v>9</v>
      </c>
      <c r="K48" s="1">
        <v>0</v>
      </c>
      <c r="L48" s="2">
        <v>44288</v>
      </c>
      <c r="M48" s="36">
        <v>0.70174143300000003</v>
      </c>
      <c r="N48" s="39">
        <v>38.930621199999997</v>
      </c>
      <c r="O48" s="39">
        <v>85.581763249999995</v>
      </c>
      <c r="P48" s="39">
        <v>43.348140450000002</v>
      </c>
      <c r="Q48" s="39">
        <v>56.819696980000003</v>
      </c>
      <c r="R48" s="39">
        <v>54.54982708</v>
      </c>
    </row>
    <row r="49" spans="1:18" ht="25.5" customHeight="1">
      <c r="A49" s="1">
        <v>48</v>
      </c>
      <c r="B49" s="1">
        <v>29</v>
      </c>
      <c r="C49" s="13" t="str">
        <f t="shared" si="0"/>
        <v>Adult</v>
      </c>
      <c r="D49" s="43">
        <v>193</v>
      </c>
      <c r="E49" s="43">
        <v>73</v>
      </c>
      <c r="F49" s="1" t="s">
        <v>28</v>
      </c>
      <c r="G49" s="1" t="s">
        <v>34</v>
      </c>
      <c r="H49" s="1" t="s">
        <v>30</v>
      </c>
      <c r="I49" s="1" t="s">
        <v>35</v>
      </c>
      <c r="J49" s="1">
        <v>6</v>
      </c>
      <c r="K49" s="1">
        <v>0</v>
      </c>
      <c r="L49" s="2">
        <v>43789</v>
      </c>
      <c r="M49" s="36">
        <v>0.56700761399999999</v>
      </c>
      <c r="N49" s="39">
        <v>49.864313410000001</v>
      </c>
      <c r="O49" s="39">
        <v>73.405092909999993</v>
      </c>
      <c r="P49" s="39">
        <v>32.558476749999997</v>
      </c>
      <c r="Q49" s="39">
        <v>66.324239370000001</v>
      </c>
      <c r="R49" s="39">
        <v>83.703180230000001</v>
      </c>
    </row>
    <row r="50" spans="1:18" ht="25.5" customHeight="1">
      <c r="A50" s="1">
        <v>49</v>
      </c>
      <c r="B50" s="1">
        <v>19</v>
      </c>
      <c r="C50" s="13" t="str">
        <f t="shared" si="0"/>
        <v>Adolescent</v>
      </c>
      <c r="D50" s="43">
        <v>184</v>
      </c>
      <c r="E50" s="43">
        <v>102</v>
      </c>
      <c r="F50" s="1" t="s">
        <v>36</v>
      </c>
      <c r="G50" s="1" t="s">
        <v>34</v>
      </c>
      <c r="H50" s="1" t="s">
        <v>30</v>
      </c>
      <c r="I50" s="1" t="s">
        <v>33</v>
      </c>
      <c r="J50" s="1">
        <v>6</v>
      </c>
      <c r="K50" s="1">
        <v>0</v>
      </c>
      <c r="L50" s="2">
        <v>43421</v>
      </c>
      <c r="M50" s="36">
        <v>0.51439133800000003</v>
      </c>
      <c r="N50" s="39">
        <v>55.415760749999997</v>
      </c>
      <c r="O50" s="39">
        <v>67.342276440000006</v>
      </c>
      <c r="P50" s="39">
        <v>63.044686159999998</v>
      </c>
      <c r="Q50" s="39">
        <v>33.287617670000003</v>
      </c>
      <c r="R50" s="39">
        <v>58.135163949999999</v>
      </c>
    </row>
    <row r="51" spans="1:18" ht="25.5" customHeight="1">
      <c r="A51" s="1">
        <v>50</v>
      </c>
      <c r="B51" s="1">
        <v>27</v>
      </c>
      <c r="C51" s="13" t="str">
        <f t="shared" si="0"/>
        <v>Young Adult</v>
      </c>
      <c r="D51" s="43">
        <v>201</v>
      </c>
      <c r="E51" s="43">
        <v>83</v>
      </c>
      <c r="F51" s="1" t="s">
        <v>24</v>
      </c>
      <c r="G51" s="1" t="s">
        <v>25</v>
      </c>
      <c r="H51" s="1" t="s">
        <v>32</v>
      </c>
      <c r="I51" s="1" t="s">
        <v>37</v>
      </c>
      <c r="J51" s="1">
        <v>8</v>
      </c>
      <c r="K51" s="1">
        <v>0</v>
      </c>
      <c r="L51" s="2">
        <v>42383</v>
      </c>
      <c r="M51" s="36">
        <v>0.87756862800000002</v>
      </c>
      <c r="N51" s="39">
        <v>75.21420689</v>
      </c>
      <c r="O51" s="39">
        <v>92.572480810000002</v>
      </c>
      <c r="P51" s="39">
        <v>69.53887933</v>
      </c>
      <c r="Q51" s="39">
        <v>41.639835810000001</v>
      </c>
      <c r="R51" s="39">
        <v>63.59129342</v>
      </c>
    </row>
    <row r="52" spans="1:18" ht="25.5" customHeight="1">
      <c r="A52" s="1">
        <v>51</v>
      </c>
      <c r="B52" s="1">
        <v>21</v>
      </c>
      <c r="C52" s="13" t="str">
        <f t="shared" si="0"/>
        <v>Adolescent</v>
      </c>
      <c r="D52" s="43">
        <v>201</v>
      </c>
      <c r="E52" s="43">
        <v>90</v>
      </c>
      <c r="F52" s="1" t="s">
        <v>36</v>
      </c>
      <c r="G52" s="1" t="s">
        <v>34</v>
      </c>
      <c r="H52" s="1" t="s">
        <v>26</v>
      </c>
      <c r="I52" s="1" t="s">
        <v>27</v>
      </c>
      <c r="J52" s="1">
        <v>5</v>
      </c>
      <c r="K52" s="1">
        <v>0</v>
      </c>
      <c r="L52" s="2">
        <v>42741</v>
      </c>
      <c r="M52" s="36">
        <v>0.81015477599999997</v>
      </c>
      <c r="N52" s="39">
        <v>69.954481329999993</v>
      </c>
      <c r="O52" s="39">
        <v>85.201804789999997</v>
      </c>
      <c r="P52" s="39">
        <v>34.599604759999998</v>
      </c>
      <c r="Q52" s="39">
        <v>81.662353150000001</v>
      </c>
      <c r="R52" s="39">
        <v>73.925382429999999</v>
      </c>
    </row>
    <row r="53" spans="1:18" ht="25.5" customHeight="1">
      <c r="A53" s="1">
        <v>52</v>
      </c>
      <c r="B53" s="1">
        <v>31</v>
      </c>
      <c r="C53" s="13" t="str">
        <f t="shared" si="0"/>
        <v>Adult</v>
      </c>
      <c r="D53" s="43">
        <v>193</v>
      </c>
      <c r="E53" s="43">
        <v>89</v>
      </c>
      <c r="F53" s="1" t="s">
        <v>28</v>
      </c>
      <c r="G53" s="1" t="s">
        <v>29</v>
      </c>
      <c r="H53" s="1" t="s">
        <v>30</v>
      </c>
      <c r="I53" s="1" t="s">
        <v>35</v>
      </c>
      <c r="J53" s="1">
        <v>7</v>
      </c>
      <c r="K53" s="1">
        <v>0</v>
      </c>
      <c r="L53" s="2">
        <v>41648</v>
      </c>
      <c r="M53" s="36">
        <v>0.85203988399999997</v>
      </c>
      <c r="N53" s="39">
        <v>54.926770810000001</v>
      </c>
      <c r="O53" s="39">
        <v>40.617241579999998</v>
      </c>
      <c r="P53" s="39">
        <v>84.286933169999998</v>
      </c>
      <c r="Q53" s="39">
        <v>35.79590675</v>
      </c>
      <c r="R53" s="39">
        <v>91.157397990000007</v>
      </c>
    </row>
    <row r="54" spans="1:18" ht="25.5" customHeight="1">
      <c r="A54" s="1">
        <v>53</v>
      </c>
      <c r="B54" s="1">
        <v>33</v>
      </c>
      <c r="C54" s="13" t="str">
        <f t="shared" si="0"/>
        <v>Adult</v>
      </c>
      <c r="D54" s="43">
        <v>181</v>
      </c>
      <c r="E54" s="43">
        <v>77</v>
      </c>
      <c r="F54" s="1" t="s">
        <v>28</v>
      </c>
      <c r="G54" s="1" t="s">
        <v>29</v>
      </c>
      <c r="H54" s="1" t="s">
        <v>30</v>
      </c>
      <c r="I54" s="1" t="s">
        <v>35</v>
      </c>
      <c r="J54" s="1">
        <v>5</v>
      </c>
      <c r="K54" s="1">
        <v>0</v>
      </c>
      <c r="L54" s="2">
        <v>44502</v>
      </c>
      <c r="M54" s="36">
        <v>0.60648208100000001</v>
      </c>
      <c r="N54" s="39">
        <v>99.056067420000005</v>
      </c>
      <c r="O54" s="39">
        <v>51.820544750000003</v>
      </c>
      <c r="P54" s="39">
        <v>61.730218430000001</v>
      </c>
      <c r="Q54" s="39">
        <v>72.220647659999997</v>
      </c>
      <c r="R54" s="39">
        <v>98.885842839999995</v>
      </c>
    </row>
    <row r="55" spans="1:18" ht="25.5" customHeight="1">
      <c r="A55" s="1">
        <v>54</v>
      </c>
      <c r="B55" s="1">
        <v>32</v>
      </c>
      <c r="C55" s="13" t="str">
        <f t="shared" si="0"/>
        <v>Adult</v>
      </c>
      <c r="D55" s="43">
        <v>208</v>
      </c>
      <c r="E55" s="43">
        <v>76</v>
      </c>
      <c r="F55" s="1" t="s">
        <v>28</v>
      </c>
      <c r="G55" s="1" t="s">
        <v>34</v>
      </c>
      <c r="H55" s="1" t="s">
        <v>32</v>
      </c>
      <c r="I55" s="1" t="s">
        <v>37</v>
      </c>
      <c r="J55" s="1">
        <v>4</v>
      </c>
      <c r="K55" s="1">
        <v>1</v>
      </c>
      <c r="L55" s="2">
        <v>41771</v>
      </c>
      <c r="M55" s="36">
        <v>0.56818573800000005</v>
      </c>
      <c r="N55" s="39">
        <v>72.404237350000002</v>
      </c>
      <c r="O55" s="39">
        <v>47.39423979</v>
      </c>
      <c r="P55" s="39">
        <v>66.707318849999993</v>
      </c>
      <c r="Q55" s="39">
        <v>47.174437679999997</v>
      </c>
      <c r="R55" s="39">
        <v>83.779138970000005</v>
      </c>
    </row>
    <row r="56" spans="1:18" ht="25.5" customHeight="1">
      <c r="A56" s="1">
        <v>55</v>
      </c>
      <c r="B56" s="1">
        <v>25</v>
      </c>
      <c r="C56" s="13" t="str">
        <f t="shared" si="0"/>
        <v>Young Adult</v>
      </c>
      <c r="D56" s="43">
        <v>171</v>
      </c>
      <c r="E56" s="43">
        <v>72</v>
      </c>
      <c r="F56" s="1" t="s">
        <v>24</v>
      </c>
      <c r="G56" s="1" t="s">
        <v>25</v>
      </c>
      <c r="H56" s="1" t="s">
        <v>26</v>
      </c>
      <c r="I56" s="1" t="s">
        <v>33</v>
      </c>
      <c r="J56" s="1">
        <v>8</v>
      </c>
      <c r="K56" s="1">
        <v>0</v>
      </c>
      <c r="L56" s="2">
        <v>44380</v>
      </c>
      <c r="M56" s="36">
        <v>0.50727233299999996</v>
      </c>
      <c r="N56" s="39">
        <v>46.605875419999997</v>
      </c>
      <c r="O56" s="39">
        <v>82.076240479999996</v>
      </c>
      <c r="P56" s="39">
        <v>60.853392290000002</v>
      </c>
      <c r="Q56" s="39">
        <v>57.250692979999997</v>
      </c>
      <c r="R56" s="39">
        <v>59.243674749999997</v>
      </c>
    </row>
    <row r="57" spans="1:18" ht="25.5" customHeight="1">
      <c r="A57" s="1">
        <v>56</v>
      </c>
      <c r="B57" s="1">
        <v>31</v>
      </c>
      <c r="C57" s="13" t="str">
        <f t="shared" si="0"/>
        <v>Adult</v>
      </c>
      <c r="D57" s="43">
        <v>172</v>
      </c>
      <c r="E57" s="43">
        <v>86</v>
      </c>
      <c r="F57" s="1" t="s">
        <v>24</v>
      </c>
      <c r="G57" s="1" t="s">
        <v>31</v>
      </c>
      <c r="H57" s="1" t="s">
        <v>26</v>
      </c>
      <c r="I57" s="1" t="s">
        <v>33</v>
      </c>
      <c r="J57" s="1">
        <v>9</v>
      </c>
      <c r="K57" s="1">
        <v>0</v>
      </c>
      <c r="L57" s="2">
        <v>42821</v>
      </c>
      <c r="M57" s="36">
        <v>0.67529377899999998</v>
      </c>
      <c r="N57" s="39">
        <v>37.124773079999997</v>
      </c>
      <c r="O57" s="39">
        <v>32.347270430000002</v>
      </c>
      <c r="P57" s="39">
        <v>58.053414259999997</v>
      </c>
      <c r="Q57" s="39">
        <v>50.208561570000001</v>
      </c>
      <c r="R57" s="39">
        <v>59.49499016</v>
      </c>
    </row>
    <row r="58" spans="1:18" ht="25.5" customHeight="1">
      <c r="A58" s="1">
        <v>57</v>
      </c>
      <c r="B58" s="1">
        <v>25</v>
      </c>
      <c r="C58" s="13" t="str">
        <f t="shared" si="0"/>
        <v>Young Adult</v>
      </c>
      <c r="D58" s="43">
        <v>206</v>
      </c>
      <c r="E58" s="43">
        <v>102</v>
      </c>
      <c r="F58" s="1" t="s">
        <v>24</v>
      </c>
      <c r="G58" s="1" t="s">
        <v>31</v>
      </c>
      <c r="H58" s="1" t="s">
        <v>26</v>
      </c>
      <c r="I58" s="1" t="s">
        <v>33</v>
      </c>
      <c r="J58" s="1">
        <v>5</v>
      </c>
      <c r="K58" s="1">
        <v>0</v>
      </c>
      <c r="L58" s="2">
        <v>43268</v>
      </c>
      <c r="M58" s="36">
        <v>0.79495884299999997</v>
      </c>
      <c r="N58" s="39">
        <v>40.700139739999997</v>
      </c>
      <c r="O58" s="39">
        <v>69.89227794</v>
      </c>
      <c r="P58" s="39">
        <v>69.174823189999998</v>
      </c>
      <c r="Q58" s="39">
        <v>54.897090149999997</v>
      </c>
      <c r="R58" s="39">
        <v>81.630761109999995</v>
      </c>
    </row>
    <row r="59" spans="1:18" ht="25.5" customHeight="1">
      <c r="A59" s="1">
        <v>58</v>
      </c>
      <c r="B59" s="1">
        <v>33</v>
      </c>
      <c r="C59" s="13" t="str">
        <f t="shared" si="0"/>
        <v>Adult</v>
      </c>
      <c r="D59" s="43">
        <v>186</v>
      </c>
      <c r="E59" s="43">
        <v>81</v>
      </c>
      <c r="F59" s="1" t="s">
        <v>36</v>
      </c>
      <c r="G59" s="1" t="s">
        <v>34</v>
      </c>
      <c r="H59" s="1" t="s">
        <v>32</v>
      </c>
      <c r="I59" s="1" t="s">
        <v>33</v>
      </c>
      <c r="J59" s="1">
        <v>3</v>
      </c>
      <c r="K59" s="1">
        <v>0</v>
      </c>
      <c r="L59" s="2">
        <v>42819</v>
      </c>
      <c r="M59" s="36">
        <v>0.69612202300000003</v>
      </c>
      <c r="N59" s="39">
        <v>47.217040990000001</v>
      </c>
      <c r="O59" s="39">
        <v>83.372107999999997</v>
      </c>
      <c r="P59" s="39">
        <v>40.866817220000001</v>
      </c>
      <c r="Q59" s="39">
        <v>80.333213360000002</v>
      </c>
      <c r="R59" s="39">
        <v>46.7144002</v>
      </c>
    </row>
    <row r="60" spans="1:18" ht="25.5" customHeight="1">
      <c r="A60" s="1">
        <v>59</v>
      </c>
      <c r="B60" s="1">
        <v>30</v>
      </c>
      <c r="C60" s="13" t="str">
        <f t="shared" si="0"/>
        <v>Adult</v>
      </c>
      <c r="D60" s="43">
        <v>171</v>
      </c>
      <c r="E60" s="43">
        <v>91</v>
      </c>
      <c r="F60" s="1" t="s">
        <v>24</v>
      </c>
      <c r="G60" s="1" t="s">
        <v>29</v>
      </c>
      <c r="H60" s="1" t="s">
        <v>32</v>
      </c>
      <c r="I60" s="1" t="s">
        <v>27</v>
      </c>
      <c r="J60" s="1">
        <v>11</v>
      </c>
      <c r="K60" s="1">
        <v>0</v>
      </c>
      <c r="L60" s="2">
        <v>43251</v>
      </c>
      <c r="M60" s="36">
        <v>0.71873746100000002</v>
      </c>
      <c r="N60" s="39">
        <v>41.247696130000001</v>
      </c>
      <c r="O60" s="39">
        <v>91.373594569999995</v>
      </c>
      <c r="P60" s="39">
        <v>42.734969130000003</v>
      </c>
      <c r="Q60" s="39">
        <v>50.798520089999997</v>
      </c>
      <c r="R60" s="39">
        <v>37.733187919999999</v>
      </c>
    </row>
    <row r="61" spans="1:18" ht="25.5" customHeight="1">
      <c r="A61" s="1">
        <v>60</v>
      </c>
      <c r="B61" s="1">
        <v>32</v>
      </c>
      <c r="C61" s="13" t="str">
        <f t="shared" si="0"/>
        <v>Adult</v>
      </c>
      <c r="D61" s="43">
        <v>171</v>
      </c>
      <c r="E61" s="43">
        <v>91</v>
      </c>
      <c r="F61" s="1" t="s">
        <v>28</v>
      </c>
      <c r="G61" s="1" t="s">
        <v>25</v>
      </c>
      <c r="H61" s="1" t="s">
        <v>32</v>
      </c>
      <c r="I61" s="1" t="s">
        <v>27</v>
      </c>
      <c r="J61" s="1">
        <v>4</v>
      </c>
      <c r="K61" s="1">
        <v>0</v>
      </c>
      <c r="L61" s="2">
        <v>43124</v>
      </c>
      <c r="M61" s="36">
        <v>0.95207934699999996</v>
      </c>
      <c r="N61" s="39">
        <v>43.05969168</v>
      </c>
      <c r="O61" s="39">
        <v>53.945722410000002</v>
      </c>
      <c r="P61" s="39">
        <v>90.324993469999995</v>
      </c>
      <c r="Q61" s="39">
        <v>69.648324819999999</v>
      </c>
      <c r="R61" s="39">
        <v>54.823551029999997</v>
      </c>
    </row>
    <row r="62" spans="1:18" ht="25.5" customHeight="1">
      <c r="A62" s="1">
        <v>61</v>
      </c>
      <c r="B62" s="1">
        <v>30</v>
      </c>
      <c r="C62" s="13" t="str">
        <f t="shared" si="0"/>
        <v>Adult</v>
      </c>
      <c r="D62" s="43">
        <v>197</v>
      </c>
      <c r="E62" s="43">
        <v>99</v>
      </c>
      <c r="F62" s="1" t="s">
        <v>24</v>
      </c>
      <c r="G62" s="1" t="s">
        <v>31</v>
      </c>
      <c r="H62" s="1" t="s">
        <v>26</v>
      </c>
      <c r="I62" s="1" t="s">
        <v>35</v>
      </c>
      <c r="J62" s="1">
        <v>2</v>
      </c>
      <c r="K62" s="1">
        <v>0</v>
      </c>
      <c r="L62" s="2">
        <v>43663</v>
      </c>
      <c r="M62" s="36">
        <v>0.67412773400000003</v>
      </c>
      <c r="N62" s="39">
        <v>49.95666181</v>
      </c>
      <c r="O62" s="39">
        <v>87.488011330000006</v>
      </c>
      <c r="P62" s="39">
        <v>96.228082349999994</v>
      </c>
      <c r="Q62" s="39">
        <v>63.323528150000001</v>
      </c>
      <c r="R62" s="39">
        <v>50.106729420000001</v>
      </c>
    </row>
    <row r="63" spans="1:18" ht="25.5" customHeight="1">
      <c r="A63" s="1">
        <v>62</v>
      </c>
      <c r="B63" s="1">
        <v>26</v>
      </c>
      <c r="C63" s="13" t="str">
        <f t="shared" si="0"/>
        <v>Young Adult</v>
      </c>
      <c r="D63" s="43">
        <v>192</v>
      </c>
      <c r="E63" s="43">
        <v>107</v>
      </c>
      <c r="F63" s="1" t="s">
        <v>36</v>
      </c>
      <c r="G63" s="1" t="s">
        <v>25</v>
      </c>
      <c r="H63" s="1" t="s">
        <v>26</v>
      </c>
      <c r="I63" s="1" t="s">
        <v>27</v>
      </c>
      <c r="J63" s="1">
        <v>9</v>
      </c>
      <c r="K63" s="1">
        <v>0</v>
      </c>
      <c r="L63" s="2">
        <v>42825</v>
      </c>
      <c r="M63" s="36">
        <v>0.75699474499999997</v>
      </c>
      <c r="N63" s="39">
        <v>42.136151669999997</v>
      </c>
      <c r="O63" s="39">
        <v>37.744221590000002</v>
      </c>
      <c r="P63" s="39">
        <v>56.13165214</v>
      </c>
      <c r="Q63" s="39">
        <v>76.456981580000004</v>
      </c>
      <c r="R63" s="39">
        <v>50.741568430000001</v>
      </c>
    </row>
    <row r="64" spans="1:18" ht="25.5" customHeight="1">
      <c r="A64" s="1">
        <v>63</v>
      </c>
      <c r="B64" s="1">
        <v>32</v>
      </c>
      <c r="C64" s="13" t="str">
        <f t="shared" si="0"/>
        <v>Adult</v>
      </c>
      <c r="D64" s="43">
        <v>206</v>
      </c>
      <c r="E64" s="43">
        <v>107</v>
      </c>
      <c r="F64" s="1" t="s">
        <v>36</v>
      </c>
      <c r="G64" s="1" t="s">
        <v>25</v>
      </c>
      <c r="H64" s="1" t="s">
        <v>30</v>
      </c>
      <c r="I64" s="1" t="s">
        <v>35</v>
      </c>
      <c r="J64" s="1">
        <v>4</v>
      </c>
      <c r="K64" s="1">
        <v>0</v>
      </c>
      <c r="L64" s="2">
        <v>43118</v>
      </c>
      <c r="M64" s="36">
        <v>0.89182650600000002</v>
      </c>
      <c r="N64" s="39">
        <v>92.773579720000001</v>
      </c>
      <c r="O64" s="39">
        <v>89.251660419999993</v>
      </c>
      <c r="P64" s="39">
        <v>48.95212712</v>
      </c>
      <c r="Q64" s="39">
        <v>95.578081749999996</v>
      </c>
      <c r="R64" s="39">
        <v>46.352542569999997</v>
      </c>
    </row>
    <row r="65" spans="1:18" ht="25.5" customHeight="1">
      <c r="A65" s="1">
        <v>64</v>
      </c>
      <c r="B65" s="1">
        <v>30</v>
      </c>
      <c r="C65" s="13" t="str">
        <f t="shared" si="0"/>
        <v>Adult</v>
      </c>
      <c r="D65" s="43">
        <v>201</v>
      </c>
      <c r="E65" s="43">
        <v>77</v>
      </c>
      <c r="F65" s="1" t="s">
        <v>24</v>
      </c>
      <c r="G65" s="1" t="s">
        <v>25</v>
      </c>
      <c r="H65" s="1" t="s">
        <v>32</v>
      </c>
      <c r="I65" s="1" t="s">
        <v>37</v>
      </c>
      <c r="J65" s="1">
        <v>11</v>
      </c>
      <c r="K65" s="1">
        <v>0</v>
      </c>
      <c r="L65" s="2">
        <v>42735</v>
      </c>
      <c r="M65" s="36">
        <v>0.69827139100000002</v>
      </c>
      <c r="N65" s="39">
        <v>35.616362199999998</v>
      </c>
      <c r="O65" s="39">
        <v>38.924206359999999</v>
      </c>
      <c r="P65" s="39">
        <v>75.079968030000003</v>
      </c>
      <c r="Q65" s="39">
        <v>81.280046799999994</v>
      </c>
      <c r="R65" s="39">
        <v>32.94652327</v>
      </c>
    </row>
    <row r="66" spans="1:18" ht="25.5" customHeight="1">
      <c r="A66" s="1">
        <v>65</v>
      </c>
      <c r="B66" s="1">
        <v>18</v>
      </c>
      <c r="C66" s="13" t="str">
        <f t="shared" si="0"/>
        <v>Adolescent</v>
      </c>
      <c r="D66" s="43">
        <v>202</v>
      </c>
      <c r="E66" s="43">
        <v>96</v>
      </c>
      <c r="F66" s="1" t="s">
        <v>28</v>
      </c>
      <c r="G66" s="1" t="s">
        <v>34</v>
      </c>
      <c r="H66" s="1" t="s">
        <v>30</v>
      </c>
      <c r="I66" s="1" t="s">
        <v>35</v>
      </c>
      <c r="J66" s="1">
        <v>8</v>
      </c>
      <c r="K66" s="1">
        <v>0</v>
      </c>
      <c r="L66" s="2">
        <v>42965</v>
      </c>
      <c r="M66" s="36">
        <v>0.81104335000000005</v>
      </c>
      <c r="N66" s="39">
        <v>66.715797269999996</v>
      </c>
      <c r="O66" s="39">
        <v>57.810110340000001</v>
      </c>
      <c r="P66" s="39">
        <v>58.611391980000001</v>
      </c>
      <c r="Q66" s="39">
        <v>45.045826499999997</v>
      </c>
      <c r="R66" s="39">
        <v>31.25117543</v>
      </c>
    </row>
    <row r="67" spans="1:18" ht="25.5" customHeight="1">
      <c r="A67" s="1">
        <v>66</v>
      </c>
      <c r="B67" s="1">
        <v>24</v>
      </c>
      <c r="C67" s="13" t="str">
        <f t="shared" ref="C67:C101" si="1">IF(B67&gt;=28,"Adult",IF(B67&gt;= 23,"Young Adult",IF(B67&lt;=22,"Adolescent", "invalid")))</f>
        <v>Young Adult</v>
      </c>
      <c r="D67" s="43">
        <v>170</v>
      </c>
      <c r="E67" s="43">
        <v>96</v>
      </c>
      <c r="F67" s="1" t="s">
        <v>24</v>
      </c>
      <c r="G67" s="1" t="s">
        <v>31</v>
      </c>
      <c r="H67" s="1" t="s">
        <v>32</v>
      </c>
      <c r="I67" s="1" t="s">
        <v>27</v>
      </c>
      <c r="J67" s="1">
        <v>11</v>
      </c>
      <c r="K67" s="1">
        <v>0</v>
      </c>
      <c r="L67" s="2">
        <v>44272</v>
      </c>
      <c r="M67" s="36">
        <v>0.93118185399999998</v>
      </c>
      <c r="N67" s="39">
        <v>58.727777889999999</v>
      </c>
      <c r="O67" s="39">
        <v>85.810675599999996</v>
      </c>
      <c r="P67" s="39">
        <v>31.7770449</v>
      </c>
      <c r="Q67" s="39">
        <v>32.182819449999997</v>
      </c>
      <c r="R67" s="39">
        <v>99.140567279999999</v>
      </c>
    </row>
    <row r="68" spans="1:18" ht="25.5" customHeight="1">
      <c r="A68" s="1">
        <v>67</v>
      </c>
      <c r="B68" s="1">
        <v>26</v>
      </c>
      <c r="C68" s="13" t="str">
        <f t="shared" si="1"/>
        <v>Young Adult</v>
      </c>
      <c r="D68" s="43">
        <v>188</v>
      </c>
      <c r="E68" s="43">
        <v>103</v>
      </c>
      <c r="F68" s="1" t="s">
        <v>36</v>
      </c>
      <c r="G68" s="1" t="s">
        <v>34</v>
      </c>
      <c r="H68" s="1" t="s">
        <v>26</v>
      </c>
      <c r="I68" s="1" t="s">
        <v>33</v>
      </c>
      <c r="J68" s="1">
        <v>6</v>
      </c>
      <c r="K68" s="1">
        <v>1</v>
      </c>
      <c r="L68" s="2">
        <v>42039</v>
      </c>
      <c r="M68" s="36">
        <v>0.97476031200000002</v>
      </c>
      <c r="N68" s="39">
        <v>98.766503180000001</v>
      </c>
      <c r="O68" s="39">
        <v>40.494219909999998</v>
      </c>
      <c r="P68" s="39">
        <v>40.930681819999997</v>
      </c>
      <c r="Q68" s="39">
        <v>48.358483100000001</v>
      </c>
      <c r="R68" s="39">
        <v>59.944119360000002</v>
      </c>
    </row>
    <row r="69" spans="1:18" ht="25.5" customHeight="1">
      <c r="A69" s="1">
        <v>68</v>
      </c>
      <c r="B69" s="1">
        <v>18</v>
      </c>
      <c r="C69" s="13" t="str">
        <f t="shared" si="1"/>
        <v>Adolescent</v>
      </c>
      <c r="D69" s="43">
        <v>171</v>
      </c>
      <c r="E69" s="43">
        <v>90</v>
      </c>
      <c r="F69" s="1" t="s">
        <v>24</v>
      </c>
      <c r="G69" s="1" t="s">
        <v>29</v>
      </c>
      <c r="H69" s="1" t="s">
        <v>26</v>
      </c>
      <c r="I69" s="1" t="s">
        <v>37</v>
      </c>
      <c r="J69" s="1">
        <v>11</v>
      </c>
      <c r="K69" s="1">
        <v>1</v>
      </c>
      <c r="L69" s="2">
        <v>42604</v>
      </c>
      <c r="M69" s="36">
        <v>0.57353673999999999</v>
      </c>
      <c r="N69" s="39">
        <v>37.842723149999998</v>
      </c>
      <c r="O69" s="39">
        <v>46.047597670000002</v>
      </c>
      <c r="P69" s="39">
        <v>80.118056019999997</v>
      </c>
      <c r="Q69" s="39">
        <v>71.655455149999995</v>
      </c>
      <c r="R69" s="39">
        <v>56.902865300000002</v>
      </c>
    </row>
    <row r="70" spans="1:18" ht="25.5" customHeight="1">
      <c r="A70" s="1">
        <v>69</v>
      </c>
      <c r="B70" s="1">
        <v>29</v>
      </c>
      <c r="C70" s="13" t="str">
        <f t="shared" si="1"/>
        <v>Adult</v>
      </c>
      <c r="D70" s="43">
        <v>195</v>
      </c>
      <c r="E70" s="43">
        <v>99</v>
      </c>
      <c r="F70" s="1" t="s">
        <v>24</v>
      </c>
      <c r="G70" s="1" t="s">
        <v>38</v>
      </c>
      <c r="H70" s="1" t="s">
        <v>26</v>
      </c>
      <c r="I70" s="1" t="s">
        <v>35</v>
      </c>
      <c r="J70" s="1">
        <v>6</v>
      </c>
      <c r="K70" s="1">
        <v>0</v>
      </c>
      <c r="L70" s="2">
        <v>42922</v>
      </c>
      <c r="M70" s="36">
        <v>0.96329381300000005</v>
      </c>
      <c r="N70" s="39">
        <v>57.849891929999998</v>
      </c>
      <c r="O70" s="39">
        <v>80.557679789999995</v>
      </c>
      <c r="P70" s="39">
        <v>76.124675929999995</v>
      </c>
      <c r="Q70" s="39">
        <v>33.599806940000001</v>
      </c>
      <c r="R70" s="39">
        <v>77.575309790000006</v>
      </c>
    </row>
    <row r="71" spans="1:18" ht="25.5" customHeight="1">
      <c r="A71" s="1">
        <v>70</v>
      </c>
      <c r="B71" s="1">
        <v>25</v>
      </c>
      <c r="C71" s="13" t="str">
        <f t="shared" si="1"/>
        <v>Young Adult</v>
      </c>
      <c r="D71" s="43">
        <v>201</v>
      </c>
      <c r="E71" s="43">
        <v>102</v>
      </c>
      <c r="F71" s="1" t="s">
        <v>28</v>
      </c>
      <c r="G71" s="1" t="s">
        <v>34</v>
      </c>
      <c r="H71" s="1" t="s">
        <v>26</v>
      </c>
      <c r="I71" s="1" t="s">
        <v>27</v>
      </c>
      <c r="J71" s="1">
        <v>8</v>
      </c>
      <c r="K71" s="1">
        <v>1</v>
      </c>
      <c r="L71" s="2">
        <v>44352</v>
      </c>
      <c r="M71" s="36">
        <v>0.74605814699999995</v>
      </c>
      <c r="N71" s="39">
        <v>97.862930329999998</v>
      </c>
      <c r="O71" s="39">
        <v>80.402557560000005</v>
      </c>
      <c r="P71" s="39">
        <v>31.896719480000002</v>
      </c>
      <c r="Q71" s="39">
        <v>64.745637299999999</v>
      </c>
      <c r="R71" s="39">
        <v>45.277772149999997</v>
      </c>
    </row>
    <row r="72" spans="1:18" ht="25.5" customHeight="1">
      <c r="A72" s="1">
        <v>71</v>
      </c>
      <c r="B72" s="1">
        <v>28</v>
      </c>
      <c r="C72" s="13" t="str">
        <f t="shared" si="1"/>
        <v>Adult</v>
      </c>
      <c r="D72" s="43">
        <v>175</v>
      </c>
      <c r="E72" s="43">
        <v>97</v>
      </c>
      <c r="F72" s="1" t="s">
        <v>36</v>
      </c>
      <c r="G72" s="1" t="s">
        <v>25</v>
      </c>
      <c r="H72" s="1" t="s">
        <v>30</v>
      </c>
      <c r="I72" s="1" t="s">
        <v>35</v>
      </c>
      <c r="J72" s="1">
        <v>10</v>
      </c>
      <c r="K72" s="1">
        <v>0</v>
      </c>
      <c r="L72" s="2">
        <v>44400</v>
      </c>
      <c r="M72" s="36">
        <v>0.62912219400000002</v>
      </c>
      <c r="N72" s="39">
        <v>90.585498810000004</v>
      </c>
      <c r="O72" s="39">
        <v>74.880334300000001</v>
      </c>
      <c r="P72" s="39">
        <v>45.538051340000003</v>
      </c>
      <c r="Q72" s="39">
        <v>71.778999420000005</v>
      </c>
      <c r="R72" s="39">
        <v>96.49728288</v>
      </c>
    </row>
    <row r="73" spans="1:18" ht="25.5" customHeight="1">
      <c r="A73" s="1">
        <v>72</v>
      </c>
      <c r="B73" s="1">
        <v>34</v>
      </c>
      <c r="C73" s="13" t="str">
        <f t="shared" si="1"/>
        <v>Adult</v>
      </c>
      <c r="D73" s="43">
        <v>201</v>
      </c>
      <c r="E73" s="43">
        <v>102</v>
      </c>
      <c r="F73" s="1" t="s">
        <v>36</v>
      </c>
      <c r="G73" s="1" t="s">
        <v>25</v>
      </c>
      <c r="H73" s="1" t="s">
        <v>26</v>
      </c>
      <c r="I73" s="1" t="s">
        <v>37</v>
      </c>
      <c r="J73" s="1">
        <v>6</v>
      </c>
      <c r="K73" s="1">
        <v>0</v>
      </c>
      <c r="L73" s="2">
        <v>42536</v>
      </c>
      <c r="M73" s="36">
        <v>0.729567878</v>
      </c>
      <c r="N73" s="39">
        <v>87.195044969999998</v>
      </c>
      <c r="O73" s="39">
        <v>78.576391110000003</v>
      </c>
      <c r="P73" s="39">
        <v>46.17523576</v>
      </c>
      <c r="Q73" s="39">
        <v>53.397072360000003</v>
      </c>
      <c r="R73" s="39">
        <v>85.044151009999993</v>
      </c>
    </row>
    <row r="74" spans="1:18" ht="25.5" customHeight="1">
      <c r="A74" s="1">
        <v>73</v>
      </c>
      <c r="B74" s="1">
        <v>25</v>
      </c>
      <c r="C74" s="13" t="str">
        <f t="shared" si="1"/>
        <v>Young Adult</v>
      </c>
      <c r="D74" s="43">
        <v>173</v>
      </c>
      <c r="E74" s="43">
        <v>74</v>
      </c>
      <c r="F74" s="1" t="s">
        <v>28</v>
      </c>
      <c r="G74" s="1" t="s">
        <v>25</v>
      </c>
      <c r="H74" s="1" t="s">
        <v>26</v>
      </c>
      <c r="I74" s="1" t="s">
        <v>37</v>
      </c>
      <c r="J74" s="1">
        <v>2</v>
      </c>
      <c r="K74" s="1">
        <v>0</v>
      </c>
      <c r="L74" s="2">
        <v>41926</v>
      </c>
      <c r="M74" s="36">
        <v>0.99001628799999997</v>
      </c>
      <c r="N74" s="39">
        <v>48.05319789</v>
      </c>
      <c r="O74" s="39">
        <v>67.99071103</v>
      </c>
      <c r="P74" s="39">
        <v>77.032492050000002</v>
      </c>
      <c r="Q74" s="39">
        <v>83.963854260000005</v>
      </c>
      <c r="R74" s="39">
        <v>36.258770159999997</v>
      </c>
    </row>
    <row r="75" spans="1:18" ht="25.5" customHeight="1">
      <c r="A75" s="1">
        <v>74</v>
      </c>
      <c r="B75" s="1">
        <v>20</v>
      </c>
      <c r="C75" s="13" t="str">
        <f t="shared" si="1"/>
        <v>Adolescent</v>
      </c>
      <c r="D75" s="43">
        <v>180</v>
      </c>
      <c r="E75" s="43">
        <v>88</v>
      </c>
      <c r="F75" s="1" t="s">
        <v>24</v>
      </c>
      <c r="G75" s="1" t="s">
        <v>38</v>
      </c>
      <c r="H75" s="1" t="s">
        <v>30</v>
      </c>
      <c r="I75" s="1" t="s">
        <v>27</v>
      </c>
      <c r="J75" s="1">
        <v>11</v>
      </c>
      <c r="K75" s="1">
        <v>0</v>
      </c>
      <c r="L75" s="2">
        <v>42236</v>
      </c>
      <c r="M75" s="36">
        <v>0.746309047</v>
      </c>
      <c r="N75" s="39">
        <v>41.962131120000002</v>
      </c>
      <c r="O75" s="39">
        <v>47.625934119999997</v>
      </c>
      <c r="P75" s="39">
        <v>31.379737639999998</v>
      </c>
      <c r="Q75" s="39">
        <v>37.461877719999997</v>
      </c>
      <c r="R75" s="39">
        <v>59.230654299999998</v>
      </c>
    </row>
    <row r="76" spans="1:18" ht="25.5" customHeight="1">
      <c r="A76" s="1">
        <v>75</v>
      </c>
      <c r="B76" s="1">
        <v>20</v>
      </c>
      <c r="C76" s="13" t="str">
        <f t="shared" si="1"/>
        <v>Adolescent</v>
      </c>
      <c r="D76" s="43">
        <v>186</v>
      </c>
      <c r="E76" s="43">
        <v>73</v>
      </c>
      <c r="F76" s="1" t="s">
        <v>36</v>
      </c>
      <c r="G76" s="1" t="s">
        <v>34</v>
      </c>
      <c r="H76" s="1" t="s">
        <v>26</v>
      </c>
      <c r="I76" s="1" t="s">
        <v>27</v>
      </c>
      <c r="J76" s="1">
        <v>11</v>
      </c>
      <c r="K76" s="1">
        <v>0</v>
      </c>
      <c r="L76" s="2">
        <v>41941</v>
      </c>
      <c r="M76" s="36">
        <v>0.66437580500000004</v>
      </c>
      <c r="N76" s="39">
        <v>76.805025389999997</v>
      </c>
      <c r="O76" s="39">
        <v>54.19871955</v>
      </c>
      <c r="P76" s="39">
        <v>37.287600740000002</v>
      </c>
      <c r="Q76" s="39">
        <v>35.259644719999997</v>
      </c>
      <c r="R76" s="39">
        <v>91.538281530000006</v>
      </c>
    </row>
    <row r="77" spans="1:18" ht="25.5" customHeight="1">
      <c r="A77" s="1">
        <v>76</v>
      </c>
      <c r="B77" s="1">
        <v>18</v>
      </c>
      <c r="C77" s="13" t="str">
        <f t="shared" si="1"/>
        <v>Adolescent</v>
      </c>
      <c r="D77" s="43">
        <v>207</v>
      </c>
      <c r="E77" s="43">
        <v>104</v>
      </c>
      <c r="F77" s="1" t="s">
        <v>24</v>
      </c>
      <c r="G77" s="1" t="s">
        <v>29</v>
      </c>
      <c r="H77" s="1" t="s">
        <v>32</v>
      </c>
      <c r="I77" s="1" t="s">
        <v>27</v>
      </c>
      <c r="J77" s="1">
        <v>2</v>
      </c>
      <c r="K77" s="1">
        <v>0</v>
      </c>
      <c r="L77" s="2">
        <v>42600</v>
      </c>
      <c r="M77" s="36">
        <v>0.81670042700000001</v>
      </c>
      <c r="N77" s="39">
        <v>95.056319239999993</v>
      </c>
      <c r="O77" s="39">
        <v>42.711840180000003</v>
      </c>
      <c r="P77" s="39">
        <v>85.994125980000007</v>
      </c>
      <c r="Q77" s="39">
        <v>80.973212930000003</v>
      </c>
      <c r="R77" s="39">
        <v>96.131241560000007</v>
      </c>
    </row>
    <row r="78" spans="1:18" ht="25.5" customHeight="1">
      <c r="A78" s="1">
        <v>77</v>
      </c>
      <c r="B78" s="1">
        <v>22</v>
      </c>
      <c r="C78" s="13" t="str">
        <f t="shared" si="1"/>
        <v>Adolescent</v>
      </c>
      <c r="D78" s="43">
        <v>193</v>
      </c>
      <c r="E78" s="43">
        <v>86</v>
      </c>
      <c r="F78" s="1" t="s">
        <v>24</v>
      </c>
      <c r="G78" s="1" t="s">
        <v>34</v>
      </c>
      <c r="H78" s="1" t="s">
        <v>32</v>
      </c>
      <c r="I78" s="1" t="s">
        <v>37</v>
      </c>
      <c r="J78" s="1">
        <v>3</v>
      </c>
      <c r="K78" s="1">
        <v>0</v>
      </c>
      <c r="L78" s="2">
        <v>42714</v>
      </c>
      <c r="M78" s="36">
        <v>0.62007280899999995</v>
      </c>
      <c r="N78" s="39">
        <v>68.97340251</v>
      </c>
      <c r="O78" s="39">
        <v>93.59153929</v>
      </c>
      <c r="P78" s="39">
        <v>42.498126339999999</v>
      </c>
      <c r="Q78" s="39">
        <v>64.684392130000006</v>
      </c>
      <c r="R78" s="39">
        <v>62.718105790000003</v>
      </c>
    </row>
    <row r="79" spans="1:18" ht="25.5" customHeight="1">
      <c r="A79" s="1">
        <v>78</v>
      </c>
      <c r="B79" s="1">
        <v>27</v>
      </c>
      <c r="C79" s="13" t="str">
        <f t="shared" si="1"/>
        <v>Young Adult</v>
      </c>
      <c r="D79" s="43">
        <v>174</v>
      </c>
      <c r="E79" s="43">
        <v>97</v>
      </c>
      <c r="F79" s="1" t="s">
        <v>24</v>
      </c>
      <c r="G79" s="1" t="s">
        <v>38</v>
      </c>
      <c r="H79" s="1" t="s">
        <v>26</v>
      </c>
      <c r="I79" s="1" t="s">
        <v>27</v>
      </c>
      <c r="J79" s="1">
        <v>7</v>
      </c>
      <c r="K79" s="1">
        <v>0</v>
      </c>
      <c r="L79" s="2">
        <v>42940</v>
      </c>
      <c r="M79" s="36">
        <v>0.53793166400000003</v>
      </c>
      <c r="N79" s="39">
        <v>70.012888259999997</v>
      </c>
      <c r="O79" s="39">
        <v>70.837425629999998</v>
      </c>
      <c r="P79" s="39">
        <v>75.692227549999998</v>
      </c>
      <c r="Q79" s="39">
        <v>78.188167750000005</v>
      </c>
      <c r="R79" s="39">
        <v>72.93879724</v>
      </c>
    </row>
    <row r="80" spans="1:18" ht="25.5" customHeight="1">
      <c r="A80" s="1">
        <v>79</v>
      </c>
      <c r="B80" s="1">
        <v>24</v>
      </c>
      <c r="C80" s="13" t="str">
        <f t="shared" si="1"/>
        <v>Young Adult</v>
      </c>
      <c r="D80" s="43">
        <v>203</v>
      </c>
      <c r="E80" s="43">
        <v>99</v>
      </c>
      <c r="F80" s="1" t="s">
        <v>28</v>
      </c>
      <c r="G80" s="1" t="s">
        <v>29</v>
      </c>
      <c r="H80" s="1" t="s">
        <v>32</v>
      </c>
      <c r="I80" s="1" t="s">
        <v>35</v>
      </c>
      <c r="J80" s="1">
        <v>10</v>
      </c>
      <c r="K80" s="1">
        <v>1</v>
      </c>
      <c r="L80" s="2">
        <v>44292</v>
      </c>
      <c r="M80" s="36">
        <v>0.56443986099999999</v>
      </c>
      <c r="N80" s="39">
        <v>49.598536559999999</v>
      </c>
      <c r="O80" s="39">
        <v>58.059599169999998</v>
      </c>
      <c r="P80" s="39">
        <v>46.672794670000002</v>
      </c>
      <c r="Q80" s="39">
        <v>60.437913700000003</v>
      </c>
      <c r="R80" s="39">
        <v>41.692376230000001</v>
      </c>
    </row>
    <row r="81" spans="1:18" ht="25.5" customHeight="1">
      <c r="A81" s="1">
        <v>80</v>
      </c>
      <c r="B81" s="1">
        <v>26</v>
      </c>
      <c r="C81" s="13" t="str">
        <f t="shared" si="1"/>
        <v>Young Adult</v>
      </c>
      <c r="D81" s="43">
        <v>175</v>
      </c>
      <c r="E81" s="43">
        <v>98</v>
      </c>
      <c r="F81" s="1" t="s">
        <v>36</v>
      </c>
      <c r="G81" s="1" t="s">
        <v>25</v>
      </c>
      <c r="H81" s="1" t="s">
        <v>32</v>
      </c>
      <c r="I81" s="1" t="s">
        <v>27</v>
      </c>
      <c r="J81" s="1">
        <v>9</v>
      </c>
      <c r="K81" s="1">
        <v>0</v>
      </c>
      <c r="L81" s="2">
        <v>41658</v>
      </c>
      <c r="M81" s="36">
        <v>0.56402291900000001</v>
      </c>
      <c r="N81" s="39">
        <v>83.864505320000006</v>
      </c>
      <c r="O81" s="39">
        <v>62.340406260000002</v>
      </c>
      <c r="P81" s="39">
        <v>36.960897490000001</v>
      </c>
      <c r="Q81" s="39">
        <v>47.24814233</v>
      </c>
      <c r="R81" s="39">
        <v>99.381803829999996</v>
      </c>
    </row>
    <row r="82" spans="1:18" ht="25.5" customHeight="1">
      <c r="A82" s="1">
        <v>81</v>
      </c>
      <c r="B82" s="1">
        <v>24</v>
      </c>
      <c r="C82" s="13" t="str">
        <f t="shared" si="1"/>
        <v>Young Adult</v>
      </c>
      <c r="D82" s="43">
        <v>191</v>
      </c>
      <c r="E82" s="43">
        <v>75</v>
      </c>
      <c r="F82" s="1" t="s">
        <v>36</v>
      </c>
      <c r="G82" s="1" t="s">
        <v>29</v>
      </c>
      <c r="H82" s="1" t="s">
        <v>26</v>
      </c>
      <c r="I82" s="1" t="s">
        <v>33</v>
      </c>
      <c r="J82" s="1">
        <v>6</v>
      </c>
      <c r="K82" s="1">
        <v>0</v>
      </c>
      <c r="L82" s="2">
        <v>44314</v>
      </c>
      <c r="M82" s="36">
        <v>0.57595134699999995</v>
      </c>
      <c r="N82" s="39">
        <v>43.093062400000001</v>
      </c>
      <c r="O82" s="39">
        <v>96.309833769999997</v>
      </c>
      <c r="P82" s="39">
        <v>47.022053370000002</v>
      </c>
      <c r="Q82" s="39">
        <v>87.337162239999998</v>
      </c>
      <c r="R82" s="39">
        <v>46.217019100000002</v>
      </c>
    </row>
    <row r="83" spans="1:18" ht="25.5" customHeight="1">
      <c r="A83" s="1">
        <v>82</v>
      </c>
      <c r="B83" s="1">
        <v>26</v>
      </c>
      <c r="C83" s="13" t="str">
        <f t="shared" si="1"/>
        <v>Young Adult</v>
      </c>
      <c r="D83" s="43">
        <v>180</v>
      </c>
      <c r="E83" s="43">
        <v>104</v>
      </c>
      <c r="F83" s="1" t="s">
        <v>28</v>
      </c>
      <c r="G83" s="1" t="s">
        <v>38</v>
      </c>
      <c r="H83" s="1" t="s">
        <v>26</v>
      </c>
      <c r="I83" s="1" t="s">
        <v>35</v>
      </c>
      <c r="J83" s="1">
        <v>2</v>
      </c>
      <c r="K83" s="1">
        <v>1</v>
      </c>
      <c r="L83" s="2">
        <v>42108</v>
      </c>
      <c r="M83" s="36">
        <v>0.56941358600000003</v>
      </c>
      <c r="N83" s="39">
        <v>52.657546549999999</v>
      </c>
      <c r="O83" s="39">
        <v>40.734598220000002</v>
      </c>
      <c r="P83" s="39">
        <v>80.558685229999995</v>
      </c>
      <c r="Q83" s="39">
        <v>85.959111530000001</v>
      </c>
      <c r="R83" s="39">
        <v>95.991224189999997</v>
      </c>
    </row>
    <row r="84" spans="1:18" ht="25.5" customHeight="1">
      <c r="A84" s="1">
        <v>83</v>
      </c>
      <c r="B84" s="1">
        <v>25</v>
      </c>
      <c r="C84" s="13" t="str">
        <f t="shared" si="1"/>
        <v>Young Adult</v>
      </c>
      <c r="D84" s="43">
        <v>185</v>
      </c>
      <c r="E84" s="43">
        <v>106</v>
      </c>
      <c r="F84" s="1" t="s">
        <v>36</v>
      </c>
      <c r="G84" s="1" t="s">
        <v>31</v>
      </c>
      <c r="H84" s="1" t="s">
        <v>30</v>
      </c>
      <c r="I84" s="1" t="s">
        <v>33</v>
      </c>
      <c r="J84" s="1">
        <v>8</v>
      </c>
      <c r="K84" s="1">
        <v>1</v>
      </c>
      <c r="L84" s="2">
        <v>44348</v>
      </c>
      <c r="M84" s="36">
        <v>0.820437372</v>
      </c>
      <c r="N84" s="39">
        <v>59.780550699999999</v>
      </c>
      <c r="O84" s="39">
        <v>71.036088239999998</v>
      </c>
      <c r="P84" s="39">
        <v>89.898752770000002</v>
      </c>
      <c r="Q84" s="39">
        <v>78.62875296</v>
      </c>
      <c r="R84" s="39">
        <v>75.475265429999993</v>
      </c>
    </row>
    <row r="85" spans="1:18" ht="25.5" customHeight="1">
      <c r="A85" s="1">
        <v>84</v>
      </c>
      <c r="B85" s="1">
        <v>29</v>
      </c>
      <c r="C85" s="13" t="str">
        <f t="shared" si="1"/>
        <v>Adult</v>
      </c>
      <c r="D85" s="43">
        <v>202</v>
      </c>
      <c r="E85" s="43">
        <v>93</v>
      </c>
      <c r="F85" s="1" t="s">
        <v>28</v>
      </c>
      <c r="G85" s="1" t="s">
        <v>34</v>
      </c>
      <c r="H85" s="1" t="s">
        <v>30</v>
      </c>
      <c r="I85" s="1" t="s">
        <v>37</v>
      </c>
      <c r="J85" s="1">
        <v>6</v>
      </c>
      <c r="K85" s="1">
        <v>1</v>
      </c>
      <c r="L85" s="2">
        <v>42437</v>
      </c>
      <c r="M85" s="36">
        <v>0.59094004200000005</v>
      </c>
      <c r="N85" s="39">
        <v>65.532726510000003</v>
      </c>
      <c r="O85" s="39">
        <v>65.412207519999995</v>
      </c>
      <c r="P85" s="39">
        <v>88.115390520000005</v>
      </c>
      <c r="Q85" s="39">
        <v>49.050159610000001</v>
      </c>
      <c r="R85" s="39">
        <v>72.541575640000005</v>
      </c>
    </row>
    <row r="86" spans="1:18" ht="25.5" customHeight="1">
      <c r="A86" s="1">
        <v>85</v>
      </c>
      <c r="B86" s="1">
        <v>19</v>
      </c>
      <c r="C86" s="13" t="str">
        <f t="shared" si="1"/>
        <v>Adolescent</v>
      </c>
      <c r="D86" s="43">
        <v>178</v>
      </c>
      <c r="E86" s="43">
        <v>98</v>
      </c>
      <c r="F86" s="1" t="s">
        <v>24</v>
      </c>
      <c r="G86" s="1" t="s">
        <v>31</v>
      </c>
      <c r="H86" s="1" t="s">
        <v>32</v>
      </c>
      <c r="I86" s="1" t="s">
        <v>35</v>
      </c>
      <c r="J86" s="1">
        <v>7</v>
      </c>
      <c r="K86" s="1">
        <v>0</v>
      </c>
      <c r="L86" s="2">
        <v>41609</v>
      </c>
      <c r="M86" s="36">
        <v>0.67283364199999995</v>
      </c>
      <c r="N86" s="39">
        <v>46.968681269999998</v>
      </c>
      <c r="O86" s="39">
        <v>72.801796479999993</v>
      </c>
      <c r="P86" s="39">
        <v>57.802847069999999</v>
      </c>
      <c r="Q86" s="39">
        <v>71.316146680000003</v>
      </c>
      <c r="R86" s="39">
        <v>65.888195769999996</v>
      </c>
    </row>
    <row r="87" spans="1:18" ht="25.5" customHeight="1">
      <c r="A87" s="1">
        <v>86</v>
      </c>
      <c r="B87" s="1">
        <v>18</v>
      </c>
      <c r="C87" s="13" t="str">
        <f t="shared" si="1"/>
        <v>Adolescent</v>
      </c>
      <c r="D87" s="43">
        <v>175</v>
      </c>
      <c r="E87" s="43">
        <v>100</v>
      </c>
      <c r="F87" s="1" t="s">
        <v>24</v>
      </c>
      <c r="G87" s="1" t="s">
        <v>29</v>
      </c>
      <c r="H87" s="1" t="s">
        <v>30</v>
      </c>
      <c r="I87" s="1" t="s">
        <v>27</v>
      </c>
      <c r="J87" s="1">
        <v>8</v>
      </c>
      <c r="K87" s="1">
        <v>0</v>
      </c>
      <c r="L87" s="2">
        <v>42308</v>
      </c>
      <c r="M87" s="36">
        <v>0.94839420500000005</v>
      </c>
      <c r="N87" s="39">
        <v>38.03857773</v>
      </c>
      <c r="O87" s="39">
        <v>31.26771287</v>
      </c>
      <c r="P87" s="39">
        <v>76.765959559999999</v>
      </c>
      <c r="Q87" s="39">
        <v>55.268172790000001</v>
      </c>
      <c r="R87" s="39">
        <v>46.146886819999999</v>
      </c>
    </row>
    <row r="88" spans="1:18" ht="25.5" customHeight="1">
      <c r="A88" s="1">
        <v>87</v>
      </c>
      <c r="B88" s="1">
        <v>33</v>
      </c>
      <c r="C88" s="13" t="str">
        <f t="shared" si="1"/>
        <v>Adult</v>
      </c>
      <c r="D88" s="43">
        <v>185</v>
      </c>
      <c r="E88" s="43">
        <v>104</v>
      </c>
      <c r="F88" s="1" t="s">
        <v>24</v>
      </c>
      <c r="G88" s="1" t="s">
        <v>34</v>
      </c>
      <c r="H88" s="1" t="s">
        <v>26</v>
      </c>
      <c r="I88" s="1" t="s">
        <v>33</v>
      </c>
      <c r="J88" s="1">
        <v>4</v>
      </c>
      <c r="K88" s="1">
        <v>0</v>
      </c>
      <c r="L88" s="2">
        <v>43515</v>
      </c>
      <c r="M88" s="36">
        <v>0.73698081999999998</v>
      </c>
      <c r="N88" s="39">
        <v>72.743402970000005</v>
      </c>
      <c r="O88" s="39">
        <v>91.048673629999996</v>
      </c>
      <c r="P88" s="39">
        <v>44.34890068</v>
      </c>
      <c r="Q88" s="39">
        <v>36.410745130000002</v>
      </c>
      <c r="R88" s="39">
        <v>42.356962240000001</v>
      </c>
    </row>
    <row r="89" spans="1:18" ht="25.5" customHeight="1">
      <c r="A89" s="1">
        <v>88</v>
      </c>
      <c r="B89" s="1">
        <v>22</v>
      </c>
      <c r="C89" s="13" t="str">
        <f t="shared" si="1"/>
        <v>Adolescent</v>
      </c>
      <c r="D89" s="43">
        <v>198</v>
      </c>
      <c r="E89" s="43">
        <v>102</v>
      </c>
      <c r="F89" s="1" t="s">
        <v>24</v>
      </c>
      <c r="G89" s="1" t="s">
        <v>25</v>
      </c>
      <c r="H89" s="1" t="s">
        <v>26</v>
      </c>
      <c r="I89" s="1" t="s">
        <v>37</v>
      </c>
      <c r="J89" s="1">
        <v>11</v>
      </c>
      <c r="K89" s="1">
        <v>0</v>
      </c>
      <c r="L89" s="2">
        <v>44118</v>
      </c>
      <c r="M89" s="36">
        <v>0.83377886899999998</v>
      </c>
      <c r="N89" s="39">
        <v>50.204138729999997</v>
      </c>
      <c r="O89" s="39">
        <v>95.248279769999996</v>
      </c>
      <c r="P89" s="39">
        <v>50.520341119999998</v>
      </c>
      <c r="Q89" s="39">
        <v>94.211950279999996</v>
      </c>
      <c r="R89" s="39">
        <v>45.434034629999999</v>
      </c>
    </row>
    <row r="90" spans="1:18" ht="25.5" customHeight="1">
      <c r="A90" s="1">
        <v>89</v>
      </c>
      <c r="B90" s="1">
        <v>20</v>
      </c>
      <c r="C90" s="13" t="str">
        <f t="shared" si="1"/>
        <v>Adolescent</v>
      </c>
      <c r="D90" s="43">
        <v>172</v>
      </c>
      <c r="E90" s="43">
        <v>90</v>
      </c>
      <c r="F90" s="1" t="s">
        <v>24</v>
      </c>
      <c r="G90" s="1" t="s">
        <v>31</v>
      </c>
      <c r="H90" s="1" t="s">
        <v>26</v>
      </c>
      <c r="I90" s="1" t="s">
        <v>35</v>
      </c>
      <c r="J90" s="1">
        <v>4</v>
      </c>
      <c r="K90" s="1">
        <v>1</v>
      </c>
      <c r="L90" s="2">
        <v>42793</v>
      </c>
      <c r="M90" s="36">
        <v>0.58615993600000005</v>
      </c>
      <c r="N90" s="39">
        <v>70.686675500000007</v>
      </c>
      <c r="O90" s="39">
        <v>69.559322850000001</v>
      </c>
      <c r="P90" s="39">
        <v>92.743507300000005</v>
      </c>
      <c r="Q90" s="39">
        <v>39.577304159999997</v>
      </c>
      <c r="R90" s="39">
        <v>43.050678349999998</v>
      </c>
    </row>
    <row r="91" spans="1:18" ht="25.5" customHeight="1">
      <c r="A91" s="1">
        <v>90</v>
      </c>
      <c r="B91" s="1">
        <v>29</v>
      </c>
      <c r="C91" s="13" t="str">
        <f t="shared" si="1"/>
        <v>Adult</v>
      </c>
      <c r="D91" s="43">
        <v>189</v>
      </c>
      <c r="E91" s="43">
        <v>101</v>
      </c>
      <c r="F91" s="1" t="s">
        <v>24</v>
      </c>
      <c r="G91" s="1" t="s">
        <v>34</v>
      </c>
      <c r="H91" s="1" t="s">
        <v>26</v>
      </c>
      <c r="I91" s="1" t="s">
        <v>37</v>
      </c>
      <c r="J91" s="1">
        <v>6</v>
      </c>
      <c r="K91" s="1">
        <v>0</v>
      </c>
      <c r="L91" s="2">
        <v>42497</v>
      </c>
      <c r="M91" s="36">
        <v>0.59614450900000004</v>
      </c>
      <c r="N91" s="39">
        <v>40.805390070000001</v>
      </c>
      <c r="O91" s="39">
        <v>78.765557670000007</v>
      </c>
      <c r="P91" s="39">
        <v>30.91013465</v>
      </c>
      <c r="Q91" s="39">
        <v>96.516614770000004</v>
      </c>
      <c r="R91" s="39">
        <v>84.570913149999996</v>
      </c>
    </row>
    <row r="92" spans="1:18" ht="25.5" customHeight="1">
      <c r="A92" s="1">
        <v>91</v>
      </c>
      <c r="B92" s="1">
        <v>25</v>
      </c>
      <c r="C92" s="13" t="str">
        <f t="shared" si="1"/>
        <v>Young Adult</v>
      </c>
      <c r="D92" s="43">
        <v>205</v>
      </c>
      <c r="E92" s="43">
        <v>92</v>
      </c>
      <c r="F92" s="1" t="s">
        <v>36</v>
      </c>
      <c r="G92" s="1" t="s">
        <v>34</v>
      </c>
      <c r="H92" s="1" t="s">
        <v>30</v>
      </c>
      <c r="I92" s="1" t="s">
        <v>27</v>
      </c>
      <c r="J92" s="1">
        <v>7</v>
      </c>
      <c r="K92" s="1">
        <v>1</v>
      </c>
      <c r="L92" s="2">
        <v>43605</v>
      </c>
      <c r="M92" s="36">
        <v>0.52043430800000001</v>
      </c>
      <c r="N92" s="39">
        <v>63.67980713</v>
      </c>
      <c r="O92" s="39">
        <v>94.57495668</v>
      </c>
      <c r="P92" s="39">
        <v>35.985597159999998</v>
      </c>
      <c r="Q92" s="39">
        <v>61.220404109999997</v>
      </c>
      <c r="R92" s="39">
        <v>54.508768140000001</v>
      </c>
    </row>
    <row r="93" spans="1:18" ht="25.5" customHeight="1">
      <c r="A93" s="1">
        <v>92</v>
      </c>
      <c r="B93" s="1">
        <v>20</v>
      </c>
      <c r="C93" s="13" t="str">
        <f t="shared" si="1"/>
        <v>Adolescent</v>
      </c>
      <c r="D93" s="43">
        <v>188</v>
      </c>
      <c r="E93" s="43">
        <v>102</v>
      </c>
      <c r="F93" s="1" t="s">
        <v>24</v>
      </c>
      <c r="G93" s="1" t="s">
        <v>38</v>
      </c>
      <c r="H93" s="1" t="s">
        <v>30</v>
      </c>
      <c r="I93" s="1" t="s">
        <v>27</v>
      </c>
      <c r="J93" s="1">
        <v>10</v>
      </c>
      <c r="K93" s="1">
        <v>1</v>
      </c>
      <c r="L93" s="2">
        <v>44077</v>
      </c>
      <c r="M93" s="36">
        <v>0.58446753200000001</v>
      </c>
      <c r="N93" s="39">
        <v>67.281260279999998</v>
      </c>
      <c r="O93" s="39">
        <v>79.506704400000004</v>
      </c>
      <c r="P93" s="39">
        <v>44.552037859999999</v>
      </c>
      <c r="Q93" s="39">
        <v>42.959305020000002</v>
      </c>
      <c r="R93" s="39">
        <v>34.048987359999998</v>
      </c>
    </row>
    <row r="94" spans="1:18" ht="25.5" customHeight="1">
      <c r="A94" s="1">
        <v>93</v>
      </c>
      <c r="B94" s="1">
        <v>18</v>
      </c>
      <c r="C94" s="13" t="str">
        <f t="shared" si="1"/>
        <v>Adolescent</v>
      </c>
      <c r="D94" s="43">
        <v>195</v>
      </c>
      <c r="E94" s="43">
        <v>72</v>
      </c>
      <c r="F94" s="1" t="s">
        <v>28</v>
      </c>
      <c r="G94" s="1" t="s">
        <v>25</v>
      </c>
      <c r="H94" s="1" t="s">
        <v>26</v>
      </c>
      <c r="I94" s="1" t="s">
        <v>37</v>
      </c>
      <c r="J94" s="1">
        <v>6</v>
      </c>
      <c r="K94" s="1">
        <v>1</v>
      </c>
      <c r="L94" s="2">
        <v>44348</v>
      </c>
      <c r="M94" s="36">
        <v>0.63929517000000002</v>
      </c>
      <c r="N94" s="39">
        <v>33.627647580000001</v>
      </c>
      <c r="O94" s="39">
        <v>40.677733000000003</v>
      </c>
      <c r="P94" s="39">
        <v>31.857254269999999</v>
      </c>
      <c r="Q94" s="39">
        <v>67.933066319999995</v>
      </c>
      <c r="R94" s="39">
        <v>97.837184109999995</v>
      </c>
    </row>
    <row r="95" spans="1:18" ht="25.5" customHeight="1">
      <c r="A95" s="1">
        <v>94</v>
      </c>
      <c r="B95" s="1">
        <v>20</v>
      </c>
      <c r="C95" s="13" t="str">
        <f t="shared" si="1"/>
        <v>Adolescent</v>
      </c>
      <c r="D95" s="43">
        <v>172</v>
      </c>
      <c r="E95" s="43">
        <v>87</v>
      </c>
      <c r="F95" s="1" t="s">
        <v>36</v>
      </c>
      <c r="G95" s="1" t="s">
        <v>25</v>
      </c>
      <c r="H95" s="1" t="s">
        <v>30</v>
      </c>
      <c r="I95" s="1" t="s">
        <v>27</v>
      </c>
      <c r="J95" s="1">
        <v>2</v>
      </c>
      <c r="K95" s="1">
        <v>0</v>
      </c>
      <c r="L95" s="2">
        <v>44368</v>
      </c>
      <c r="M95" s="36">
        <v>0.58850524199999998</v>
      </c>
      <c r="N95" s="39">
        <v>53.562299469999999</v>
      </c>
      <c r="O95" s="39">
        <v>70.340185210000001</v>
      </c>
      <c r="P95" s="39">
        <v>42.700480460000001</v>
      </c>
      <c r="Q95" s="39">
        <v>91.106208510000002</v>
      </c>
      <c r="R95" s="39">
        <v>91.865011949999996</v>
      </c>
    </row>
    <row r="96" spans="1:18" ht="25.5" customHeight="1">
      <c r="A96" s="1">
        <v>95</v>
      </c>
      <c r="B96" s="1">
        <v>22</v>
      </c>
      <c r="C96" s="13" t="str">
        <f t="shared" si="1"/>
        <v>Adolescent</v>
      </c>
      <c r="D96" s="43">
        <v>188</v>
      </c>
      <c r="E96" s="43">
        <v>94</v>
      </c>
      <c r="F96" s="1" t="s">
        <v>28</v>
      </c>
      <c r="G96" s="1" t="s">
        <v>29</v>
      </c>
      <c r="H96" s="1" t="s">
        <v>30</v>
      </c>
      <c r="I96" s="1" t="s">
        <v>27</v>
      </c>
      <c r="J96" s="1">
        <v>5</v>
      </c>
      <c r="K96" s="1">
        <v>0</v>
      </c>
      <c r="L96" s="2">
        <v>42493</v>
      </c>
      <c r="M96" s="36">
        <v>0.54435126700000003</v>
      </c>
      <c r="N96" s="39">
        <v>39.409027389999999</v>
      </c>
      <c r="O96" s="39">
        <v>72.470053250000007</v>
      </c>
      <c r="P96" s="39">
        <v>70.812909270000006</v>
      </c>
      <c r="Q96" s="39">
        <v>81.255742049999995</v>
      </c>
      <c r="R96" s="39">
        <v>94.942659820000003</v>
      </c>
    </row>
    <row r="97" spans="1:18" ht="25.5" customHeight="1">
      <c r="A97" s="1">
        <v>96</v>
      </c>
      <c r="B97" s="1">
        <v>32</v>
      </c>
      <c r="C97" s="13" t="str">
        <f t="shared" si="1"/>
        <v>Adult</v>
      </c>
      <c r="D97" s="43">
        <v>189</v>
      </c>
      <c r="E97" s="43">
        <v>100</v>
      </c>
      <c r="F97" s="1" t="s">
        <v>24</v>
      </c>
      <c r="G97" s="1" t="s">
        <v>31</v>
      </c>
      <c r="H97" s="1" t="s">
        <v>30</v>
      </c>
      <c r="I97" s="1" t="s">
        <v>27</v>
      </c>
      <c r="J97" s="1">
        <v>6</v>
      </c>
      <c r="K97" s="1">
        <v>0</v>
      </c>
      <c r="L97" s="2">
        <v>44525</v>
      </c>
      <c r="M97" s="36">
        <v>0.56031793600000002</v>
      </c>
      <c r="N97" s="39">
        <v>34.43624793</v>
      </c>
      <c r="O97" s="39">
        <v>59.689146989999998</v>
      </c>
      <c r="P97" s="39">
        <v>59.499718540000003</v>
      </c>
      <c r="Q97" s="39">
        <v>86.45928035</v>
      </c>
      <c r="R97" s="39">
        <v>99.643547589999997</v>
      </c>
    </row>
    <row r="98" spans="1:18" ht="25.5" customHeight="1">
      <c r="A98" s="1">
        <v>97</v>
      </c>
      <c r="B98" s="1">
        <v>31</v>
      </c>
      <c r="C98" s="13" t="str">
        <f t="shared" si="1"/>
        <v>Adult</v>
      </c>
      <c r="D98" s="43">
        <v>201</v>
      </c>
      <c r="E98" s="43">
        <v>72</v>
      </c>
      <c r="F98" s="1" t="s">
        <v>28</v>
      </c>
      <c r="G98" s="1" t="s">
        <v>29</v>
      </c>
      <c r="H98" s="1" t="s">
        <v>32</v>
      </c>
      <c r="I98" s="1" t="s">
        <v>33</v>
      </c>
      <c r="J98" s="1">
        <v>11</v>
      </c>
      <c r="K98" s="1">
        <v>1</v>
      </c>
      <c r="L98" s="2">
        <v>43150</v>
      </c>
      <c r="M98" s="36">
        <v>0.73038938399999997</v>
      </c>
      <c r="N98" s="39">
        <v>99.297216270000007</v>
      </c>
      <c r="O98" s="39">
        <v>81.551096490000006</v>
      </c>
      <c r="P98" s="39">
        <v>92.487019779999997</v>
      </c>
      <c r="Q98" s="39">
        <v>76.114835670000005</v>
      </c>
      <c r="R98" s="39">
        <v>42.172667449999999</v>
      </c>
    </row>
    <row r="99" spans="1:18" ht="25.5" customHeight="1">
      <c r="A99" s="1">
        <v>98</v>
      </c>
      <c r="B99" s="1">
        <v>20</v>
      </c>
      <c r="C99" s="13" t="str">
        <f t="shared" si="1"/>
        <v>Adolescent</v>
      </c>
      <c r="D99" s="43">
        <v>176</v>
      </c>
      <c r="E99" s="43">
        <v>109</v>
      </c>
      <c r="F99" s="1" t="s">
        <v>36</v>
      </c>
      <c r="G99" s="1" t="s">
        <v>29</v>
      </c>
      <c r="H99" s="1" t="s">
        <v>26</v>
      </c>
      <c r="I99" s="1" t="s">
        <v>35</v>
      </c>
      <c r="J99" s="1">
        <v>11</v>
      </c>
      <c r="K99" s="1">
        <v>0</v>
      </c>
      <c r="L99" s="2">
        <v>41958</v>
      </c>
      <c r="M99" s="36">
        <v>0.603166859</v>
      </c>
      <c r="N99" s="39">
        <v>52.564769149999997</v>
      </c>
      <c r="O99" s="39">
        <v>95.40569103</v>
      </c>
      <c r="P99" s="39">
        <v>87.221049320000006</v>
      </c>
      <c r="Q99" s="39">
        <v>78.459359520000007</v>
      </c>
      <c r="R99" s="39">
        <v>57.73694132</v>
      </c>
    </row>
    <row r="100" spans="1:18" ht="25.5" customHeight="1">
      <c r="A100" s="1">
        <v>99</v>
      </c>
      <c r="B100" s="1">
        <v>18</v>
      </c>
      <c r="C100" s="13" t="str">
        <f t="shared" si="1"/>
        <v>Adolescent</v>
      </c>
      <c r="D100" s="43">
        <v>202</v>
      </c>
      <c r="E100" s="43">
        <v>93</v>
      </c>
      <c r="F100" s="1" t="s">
        <v>24</v>
      </c>
      <c r="G100" s="1" t="s">
        <v>34</v>
      </c>
      <c r="H100" s="1" t="s">
        <v>30</v>
      </c>
      <c r="I100" s="1" t="s">
        <v>37</v>
      </c>
      <c r="J100" s="1">
        <v>6</v>
      </c>
      <c r="K100" s="1">
        <v>0</v>
      </c>
      <c r="L100" s="2">
        <v>43186</v>
      </c>
      <c r="M100" s="36">
        <v>0.682134931</v>
      </c>
      <c r="N100" s="39">
        <v>86.691211210000006</v>
      </c>
      <c r="O100" s="39">
        <v>94.789795900000001</v>
      </c>
      <c r="P100" s="39">
        <v>53.927214620000001</v>
      </c>
      <c r="Q100" s="39">
        <v>89.443695610000006</v>
      </c>
      <c r="R100" s="39">
        <v>83.076693300000002</v>
      </c>
    </row>
    <row r="101" spans="1:18" ht="25.5" customHeight="1">
      <c r="A101" s="1">
        <v>100</v>
      </c>
      <c r="B101" s="1">
        <v>22</v>
      </c>
      <c r="C101" s="13" t="str">
        <f t="shared" si="1"/>
        <v>Adolescent</v>
      </c>
      <c r="D101" s="43">
        <v>209</v>
      </c>
      <c r="E101" s="43">
        <v>101</v>
      </c>
      <c r="F101" s="1" t="s">
        <v>28</v>
      </c>
      <c r="G101" s="1" t="s">
        <v>29</v>
      </c>
      <c r="H101" s="1" t="s">
        <v>26</v>
      </c>
      <c r="I101" s="1" t="s">
        <v>37</v>
      </c>
      <c r="J101" s="1">
        <v>8</v>
      </c>
      <c r="K101" s="1">
        <v>0</v>
      </c>
      <c r="L101" s="2">
        <v>44499</v>
      </c>
      <c r="M101" s="36">
        <v>0.75170863499999996</v>
      </c>
      <c r="N101" s="39">
        <v>47.824845830000001</v>
      </c>
      <c r="O101" s="39">
        <v>61.558756000000002</v>
      </c>
      <c r="P101" s="39">
        <v>48.159640340000003</v>
      </c>
      <c r="Q101" s="39">
        <v>47.47676062</v>
      </c>
      <c r="R101" s="39">
        <v>78.721443260000001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9DDC1-CEED-42E2-BBD7-EA98F26101F9}">
  <dimension ref="C3:I55"/>
  <sheetViews>
    <sheetView topLeftCell="E1" workbookViewId="0">
      <selection activeCell="O12" sqref="O12"/>
    </sheetView>
  </sheetViews>
  <sheetFormatPr defaultRowHeight="15"/>
  <cols>
    <col min="3" max="3" width="24.42578125" bestFit="1" customWidth="1"/>
    <col min="4" max="4" width="13.5703125" bestFit="1" customWidth="1"/>
    <col min="5" max="5" width="12" bestFit="1" customWidth="1"/>
    <col min="6" max="6" width="15.7109375" bestFit="1" customWidth="1"/>
    <col min="7" max="7" width="10.85546875" bestFit="1" customWidth="1"/>
    <col min="8" max="8" width="19.42578125" bestFit="1" customWidth="1"/>
    <col min="9" max="9" width="11.140625" bestFit="1" customWidth="1"/>
    <col min="10" max="10" width="12" bestFit="1" customWidth="1"/>
    <col min="11" max="11" width="15.7109375" bestFit="1" customWidth="1"/>
    <col min="12" max="12" width="10.85546875" bestFit="1" customWidth="1"/>
    <col min="13" max="13" width="19.42578125" bestFit="1" customWidth="1"/>
    <col min="14" max="14" width="23.140625" bestFit="1" customWidth="1"/>
    <col min="15" max="15" width="15.42578125" bestFit="1" customWidth="1"/>
    <col min="16" max="16" width="12" bestFit="1" customWidth="1"/>
    <col min="17" max="17" width="15.7109375" bestFit="1" customWidth="1"/>
    <col min="18" max="18" width="10.85546875" bestFit="1" customWidth="1"/>
    <col min="19" max="19" width="19.42578125" bestFit="1" customWidth="1"/>
    <col min="20" max="20" width="18.28515625" bestFit="1" customWidth="1"/>
    <col min="21" max="21" width="17.7109375" bestFit="1" customWidth="1"/>
    <col min="22" max="22" width="12" bestFit="1" customWidth="1"/>
    <col min="23" max="23" width="15.7109375" bestFit="1" customWidth="1"/>
    <col min="24" max="24" width="10.85546875" bestFit="1" customWidth="1"/>
    <col min="25" max="25" width="19.42578125" bestFit="1" customWidth="1"/>
    <col min="26" max="26" width="20.7109375" bestFit="1" customWidth="1"/>
    <col min="27" max="27" width="11.140625" bestFit="1" customWidth="1"/>
  </cols>
  <sheetData>
    <row r="3" spans="3:9">
      <c r="C3" s="14" t="s">
        <v>54</v>
      </c>
      <c r="D3" s="14" t="s">
        <v>42</v>
      </c>
    </row>
    <row r="4" spans="3:9">
      <c r="C4" s="14" t="s">
        <v>11</v>
      </c>
      <c r="D4" t="s">
        <v>25</v>
      </c>
      <c r="E4" t="s">
        <v>29</v>
      </c>
      <c r="F4" t="s">
        <v>38</v>
      </c>
      <c r="G4" t="s">
        <v>31</v>
      </c>
      <c r="H4" t="s">
        <v>34</v>
      </c>
      <c r="I4" t="s">
        <v>55</v>
      </c>
    </row>
    <row r="5" spans="3:9">
      <c r="C5" s="45" t="s">
        <v>24</v>
      </c>
      <c r="D5" s="15">
        <v>6</v>
      </c>
      <c r="E5" s="15">
        <v>6</v>
      </c>
      <c r="F5" s="15">
        <v>6</v>
      </c>
      <c r="G5" s="15">
        <v>10</v>
      </c>
      <c r="H5" s="15">
        <v>8</v>
      </c>
      <c r="I5" s="16">
        <v>36</v>
      </c>
    </row>
    <row r="6" spans="3:9">
      <c r="C6" s="46" t="s">
        <v>28</v>
      </c>
      <c r="D6" s="15">
        <v>7</v>
      </c>
      <c r="E6" s="15">
        <v>11</v>
      </c>
      <c r="F6" s="15">
        <v>2</v>
      </c>
      <c r="G6" s="15">
        <v>2</v>
      </c>
      <c r="H6" s="15">
        <v>7</v>
      </c>
      <c r="I6" s="17">
        <v>29</v>
      </c>
    </row>
    <row r="7" spans="3:9">
      <c r="C7" s="47" t="s">
        <v>36</v>
      </c>
      <c r="D7" s="15">
        <v>8</v>
      </c>
      <c r="E7" s="15">
        <v>10</v>
      </c>
      <c r="F7" s="15">
        <v>4</v>
      </c>
      <c r="G7" s="15">
        <v>3</v>
      </c>
      <c r="H7" s="15">
        <v>10</v>
      </c>
      <c r="I7" s="17">
        <v>35</v>
      </c>
    </row>
    <row r="8" spans="3:9">
      <c r="C8" s="29" t="s">
        <v>55</v>
      </c>
      <c r="D8" s="22">
        <v>21</v>
      </c>
      <c r="E8" s="23">
        <v>27</v>
      </c>
      <c r="F8" s="23">
        <v>12</v>
      </c>
      <c r="G8" s="23">
        <v>15</v>
      </c>
      <c r="H8" s="23">
        <v>25</v>
      </c>
      <c r="I8" s="24">
        <v>100</v>
      </c>
    </row>
    <row r="16" spans="3:9">
      <c r="C16" s="14" t="s">
        <v>54</v>
      </c>
      <c r="D16" s="14" t="s">
        <v>42</v>
      </c>
    </row>
    <row r="17" spans="3:9">
      <c r="C17" s="14" t="s">
        <v>43</v>
      </c>
      <c r="D17" t="s">
        <v>25</v>
      </c>
      <c r="E17" t="s">
        <v>29</v>
      </c>
      <c r="F17" t="s">
        <v>38</v>
      </c>
      <c r="G17" t="s">
        <v>31</v>
      </c>
      <c r="H17" t="s">
        <v>34</v>
      </c>
      <c r="I17" t="s">
        <v>55</v>
      </c>
    </row>
    <row r="18" spans="3:9">
      <c r="C18" s="18" t="s">
        <v>30</v>
      </c>
      <c r="D18" s="15">
        <v>4</v>
      </c>
      <c r="E18" s="15">
        <v>6</v>
      </c>
      <c r="F18" s="15">
        <v>2</v>
      </c>
      <c r="G18" s="15">
        <v>4</v>
      </c>
      <c r="H18" s="15">
        <v>11</v>
      </c>
      <c r="I18" s="15">
        <v>27</v>
      </c>
    </row>
    <row r="19" spans="3:9">
      <c r="C19" s="19" t="s">
        <v>32</v>
      </c>
      <c r="D19" s="15">
        <v>6</v>
      </c>
      <c r="E19" s="15">
        <v>9</v>
      </c>
      <c r="F19" s="15">
        <v>3</v>
      </c>
      <c r="G19" s="15">
        <v>6</v>
      </c>
      <c r="H19" s="15">
        <v>7</v>
      </c>
      <c r="I19" s="15">
        <v>31</v>
      </c>
    </row>
    <row r="20" spans="3:9">
      <c r="C20" s="19" t="s">
        <v>26</v>
      </c>
      <c r="D20" s="15">
        <v>11</v>
      </c>
      <c r="E20" s="15">
        <v>12</v>
      </c>
      <c r="F20" s="15">
        <v>7</v>
      </c>
      <c r="G20" s="15">
        <v>5</v>
      </c>
      <c r="H20" s="15">
        <v>7</v>
      </c>
      <c r="I20" s="15">
        <v>42</v>
      </c>
    </row>
    <row r="21" spans="3:9">
      <c r="C21" s="29" t="s">
        <v>55</v>
      </c>
      <c r="D21" s="26">
        <v>21</v>
      </c>
      <c r="E21" s="27">
        <v>27</v>
      </c>
      <c r="F21" s="27">
        <v>12</v>
      </c>
      <c r="G21" s="27">
        <v>15</v>
      </c>
      <c r="H21" s="27">
        <v>25</v>
      </c>
      <c r="I21" s="28">
        <v>100</v>
      </c>
    </row>
    <row r="28" spans="3:9">
      <c r="C28" s="14" t="s">
        <v>56</v>
      </c>
      <c r="D28" s="14" t="s">
        <v>42</v>
      </c>
    </row>
    <row r="29" spans="3:9">
      <c r="C29" s="14" t="s">
        <v>44</v>
      </c>
      <c r="D29" t="s">
        <v>25</v>
      </c>
      <c r="E29" t="s">
        <v>29</v>
      </c>
      <c r="F29" t="s">
        <v>38</v>
      </c>
      <c r="G29" t="s">
        <v>31</v>
      </c>
      <c r="H29" t="s">
        <v>34</v>
      </c>
      <c r="I29" t="s">
        <v>55</v>
      </c>
    </row>
    <row r="30" spans="3:9">
      <c r="C30" s="20" t="s">
        <v>37</v>
      </c>
      <c r="D30" s="15">
        <v>9</v>
      </c>
      <c r="E30" s="15">
        <v>6</v>
      </c>
      <c r="F30" s="15">
        <v>1</v>
      </c>
      <c r="G30" s="15"/>
      <c r="H30" s="15">
        <v>6</v>
      </c>
      <c r="I30" s="15">
        <v>22</v>
      </c>
    </row>
    <row r="31" spans="3:9">
      <c r="C31" s="21" t="s">
        <v>33</v>
      </c>
      <c r="D31" s="15">
        <v>3</v>
      </c>
      <c r="E31" s="15">
        <v>4</v>
      </c>
      <c r="F31" s="15">
        <v>1</v>
      </c>
      <c r="G31" s="15">
        <v>6</v>
      </c>
      <c r="H31" s="15">
        <v>6</v>
      </c>
      <c r="I31" s="15">
        <v>20</v>
      </c>
    </row>
    <row r="32" spans="3:9">
      <c r="C32" s="21" t="s">
        <v>27</v>
      </c>
      <c r="D32" s="15">
        <v>6</v>
      </c>
      <c r="E32" s="15">
        <v>8</v>
      </c>
      <c r="F32" s="15">
        <v>5</v>
      </c>
      <c r="G32" s="15">
        <v>5</v>
      </c>
      <c r="H32" s="15">
        <v>4</v>
      </c>
      <c r="I32" s="15">
        <v>28</v>
      </c>
    </row>
    <row r="33" spans="3:9">
      <c r="C33" s="21" t="s">
        <v>35</v>
      </c>
      <c r="D33" s="15">
        <v>3</v>
      </c>
      <c r="E33" s="15">
        <v>9</v>
      </c>
      <c r="F33" s="15">
        <v>5</v>
      </c>
      <c r="G33" s="15">
        <v>4</v>
      </c>
      <c r="H33" s="15">
        <v>9</v>
      </c>
      <c r="I33" s="15">
        <v>30</v>
      </c>
    </row>
    <row r="34" spans="3:9">
      <c r="C34" s="25" t="s">
        <v>55</v>
      </c>
      <c r="D34" s="22">
        <v>21</v>
      </c>
      <c r="E34" s="23">
        <v>27</v>
      </c>
      <c r="F34" s="23">
        <v>12</v>
      </c>
      <c r="G34" s="23">
        <v>15</v>
      </c>
      <c r="H34" s="23">
        <v>25</v>
      </c>
      <c r="I34" s="24">
        <v>100</v>
      </c>
    </row>
    <row r="40" spans="3:9">
      <c r="C40" s="14" t="s">
        <v>57</v>
      </c>
      <c r="D40" s="14" t="s">
        <v>43</v>
      </c>
    </row>
    <row r="41" spans="3:9">
      <c r="C41" s="14" t="s">
        <v>39</v>
      </c>
      <c r="D41" t="s">
        <v>30</v>
      </c>
      <c r="E41" t="s">
        <v>32</v>
      </c>
      <c r="F41" t="s">
        <v>26</v>
      </c>
      <c r="G41" t="s">
        <v>55</v>
      </c>
    </row>
    <row r="42" spans="3:9">
      <c r="C42" s="30" t="s">
        <v>58</v>
      </c>
      <c r="D42" s="15">
        <v>11</v>
      </c>
      <c r="E42" s="15">
        <v>6</v>
      </c>
      <c r="F42" s="15">
        <v>16</v>
      </c>
      <c r="G42" s="15">
        <v>33</v>
      </c>
    </row>
    <row r="43" spans="3:9">
      <c r="C43" s="31" t="s">
        <v>59</v>
      </c>
      <c r="D43" s="15">
        <v>10</v>
      </c>
      <c r="E43" s="15">
        <v>14</v>
      </c>
      <c r="F43" s="15">
        <v>13</v>
      </c>
      <c r="G43" s="15">
        <v>37</v>
      </c>
    </row>
    <row r="44" spans="3:9">
      <c r="C44" s="31" t="s">
        <v>60</v>
      </c>
      <c r="D44" s="15">
        <v>6</v>
      </c>
      <c r="E44" s="15">
        <v>11</v>
      </c>
      <c r="F44" s="15">
        <v>13</v>
      </c>
      <c r="G44" s="15">
        <v>30</v>
      </c>
    </row>
    <row r="45" spans="3:9">
      <c r="C45" s="32" t="s">
        <v>55</v>
      </c>
      <c r="D45" s="33">
        <v>27</v>
      </c>
      <c r="E45" s="33">
        <v>31</v>
      </c>
      <c r="F45" s="33">
        <v>42</v>
      </c>
      <c r="G45" s="34">
        <v>100</v>
      </c>
    </row>
    <row r="49" spans="3:9">
      <c r="C49" s="14" t="s">
        <v>61</v>
      </c>
      <c r="D49" s="14" t="s">
        <v>42</v>
      </c>
    </row>
    <row r="50" spans="3:9">
      <c r="C50" s="14" t="s">
        <v>44</v>
      </c>
      <c r="D50" t="s">
        <v>25</v>
      </c>
      <c r="E50" t="s">
        <v>29</v>
      </c>
      <c r="F50" t="s">
        <v>38</v>
      </c>
      <c r="G50" t="s">
        <v>31</v>
      </c>
      <c r="H50" t="s">
        <v>34</v>
      </c>
      <c r="I50" t="s">
        <v>55</v>
      </c>
    </row>
    <row r="51" spans="3:9">
      <c r="C51" t="s">
        <v>37</v>
      </c>
      <c r="D51" s="15">
        <v>1</v>
      </c>
      <c r="E51" s="15">
        <v>2</v>
      </c>
      <c r="F51" s="15">
        <v>0</v>
      </c>
      <c r="G51" s="15"/>
      <c r="H51" s="15">
        <v>3</v>
      </c>
      <c r="I51" s="15">
        <v>6</v>
      </c>
    </row>
    <row r="52" spans="3:9">
      <c r="C52" t="s">
        <v>33</v>
      </c>
      <c r="D52" s="15">
        <v>1</v>
      </c>
      <c r="E52" s="15">
        <v>1</v>
      </c>
      <c r="F52" s="15">
        <v>0</v>
      </c>
      <c r="G52" s="15">
        <v>3</v>
      </c>
      <c r="H52" s="15">
        <v>2</v>
      </c>
      <c r="I52" s="15">
        <v>7</v>
      </c>
    </row>
    <row r="53" spans="3:9">
      <c r="C53" t="s">
        <v>27</v>
      </c>
      <c r="D53" s="15">
        <v>0</v>
      </c>
      <c r="E53" s="15">
        <v>1</v>
      </c>
      <c r="F53" s="15">
        <v>1</v>
      </c>
      <c r="G53" s="15">
        <v>0</v>
      </c>
      <c r="H53" s="15">
        <v>2</v>
      </c>
      <c r="I53" s="15">
        <v>4</v>
      </c>
    </row>
    <row r="54" spans="3:9">
      <c r="C54" t="s">
        <v>35</v>
      </c>
      <c r="D54" s="15">
        <v>1</v>
      </c>
      <c r="E54" s="15">
        <v>2</v>
      </c>
      <c r="F54" s="15">
        <v>2</v>
      </c>
      <c r="G54" s="15">
        <v>2</v>
      </c>
      <c r="H54" s="15">
        <v>1</v>
      </c>
      <c r="I54" s="15">
        <v>8</v>
      </c>
    </row>
    <row r="55" spans="3:9">
      <c r="C55" t="s">
        <v>55</v>
      </c>
      <c r="D55" s="15">
        <v>3</v>
      </c>
      <c r="E55" s="15">
        <v>6</v>
      </c>
      <c r="F55" s="15">
        <v>3</v>
      </c>
      <c r="G55" s="15">
        <v>5</v>
      </c>
      <c r="H55" s="15">
        <v>8</v>
      </c>
      <c r="I55" s="15">
        <v>25</v>
      </c>
    </row>
  </sheetData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chris rodriguez</cp:lastModifiedBy>
  <cp:revision/>
  <dcterms:created xsi:type="dcterms:W3CDTF">2026-04-03T02:23:16Z</dcterms:created>
  <dcterms:modified xsi:type="dcterms:W3CDTF">2026-05-23T03:20:52Z</dcterms:modified>
  <cp:category/>
  <cp:contentStatus/>
</cp:coreProperties>
</file>